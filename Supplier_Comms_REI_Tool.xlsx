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REI Prioritization" sheetId="1" state="visible" r:id="rId3"/>
    <sheet name="2. Supplier Master" sheetId="2" state="visible" r:id="rId4"/>
    <sheet name="3. Campaign Calendar" sheetId="3" state="visible" r:id="rId5"/>
    <sheet name="4. Campaign Tracker" sheetId="4" state="visible" r:id="rId6"/>
    <sheet name="5. Escalation Log" sheetId="5" state="visible" r:id="rId7"/>
    <sheet name="6. Dashboard" sheetId="6" state="visible" r:id="rId8"/>
    <sheet name="7. Email Templates" sheetId="7" state="visible" r:id="rId9"/>
    <sheet name="8. Trend Analysis" sheetId="8" state="visible" r:id="rId10"/>
    <sheet name="9. Contact Governance" sheetId="9" state="visible" r:id="rId11"/>
    <sheet name="10. Internal Stakeholder Comm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<sst xmlns="http://schemas.openxmlformats.org/spreadsheetml/2006/main" count="779" uniqueCount="449">
  <si>
    <t xml:space="preserve">Step 1 — Supplier Prioritization  |  Simchi-Levi Risk Exposure Index (REI)</t>
  </si>
  <si>
    <t xml:space="preserve">  ► Yellow cells = enter your data. Teal cells = auto-calculated. REI Score, Risk Level, and Segment update automatically when you change any input.</t>
  </si>
  <si>
    <t xml:space="preserve">  Simchi-Levi REI Method:  REI = Time to Recover (TTR) − Time to Survive (TTS)  |  Positive REI = Critical Risk (supplier takes longer to recover than KLA can survive without them)</t>
  </si>
  <si>
    <t xml:space="preserve">Supplier Name</t>
  </si>
  <si>
    <t xml:space="preserve">Region</t>
  </si>
  <si>
    <t xml:space="preserve">Tier</t>
  </si>
  <si>
    <t xml:space="preserve">TTR
(weeks)
Time to Recover</t>
  </si>
  <si>
    <t xml:space="preserve">TTS
(weeks)
Time to Survive</t>
  </si>
  <si>
    <t xml:space="preserve">REI Score
(TTR−TTS)</t>
  </si>
  <si>
    <t xml:space="preserve">Single
Source?</t>
  </si>
  <si>
    <t xml:space="preserve">Annual Spend
($K)</t>
  </si>
  <si>
    <t xml:space="preserve">Financial
Risk Flag?</t>
  </si>
  <si>
    <t xml:space="preserve">Performance
Score (1-5)</t>
  </si>
  <si>
    <t xml:space="preserve">Composite
Risk Score</t>
  </si>
  <si>
    <t xml:space="preserve">Segment</t>
  </si>
  <si>
    <t xml:space="preserve">Escalation
Window</t>
  </si>
  <si>
    <t xml:space="preserve">Weeks to find
alternate source</t>
  </si>
  <si>
    <t xml:space="preserve">Weeks KLA
survives without</t>
  </si>
  <si>
    <t xml:space="preserve">Auto: TTR-TTS</t>
  </si>
  <si>
    <t xml:space="preserve">Yes/No</t>
  </si>
  <si>
    <t xml:space="preserve">Annual $ in thousands</t>
  </si>
  <si>
    <t xml:space="preserve">5=Best 1=Worst</t>
  </si>
  <si>
    <t xml:space="preserve">Auto-calculated</t>
  </si>
  <si>
    <t xml:space="preserve">Auto-assigned</t>
  </si>
  <si>
    <t xml:space="preserve">Bosch GmbH</t>
  </si>
  <si>
    <t xml:space="preserve">Europe</t>
  </si>
  <si>
    <t xml:space="preserve">Tier 1</t>
  </si>
  <si>
    <t xml:space="preserve">Yes</t>
  </si>
  <si>
    <t xml:space="preserve">No</t>
  </si>
  <si>
    <t xml:space="preserve">BorgWarner</t>
  </si>
  <si>
    <t xml:space="preserve">N. America</t>
  </si>
  <si>
    <t xml:space="preserve">Gentex Corporation</t>
  </si>
  <si>
    <t xml:space="preserve">Magna International</t>
  </si>
  <si>
    <t xml:space="preserve">Aptiv PLC</t>
  </si>
  <si>
    <t xml:space="preserve">Yanfeng Automotive</t>
  </si>
  <si>
    <t xml:space="preserve">Lear Corporation</t>
  </si>
  <si>
    <t xml:space="preserve">Grupo Antolin</t>
  </si>
  <si>
    <t xml:space="preserve">Mexico</t>
  </si>
  <si>
    <t xml:space="preserve">Motherson Group</t>
  </si>
  <si>
    <t xml:space="preserve">India</t>
  </si>
  <si>
    <t xml:space="preserve">Adient</t>
  </si>
  <si>
    <t xml:space="preserve">Tata Steel</t>
  </si>
  <si>
    <t xml:space="preserve">Tier 2</t>
  </si>
  <si>
    <t xml:space="preserve">Minda Industries</t>
  </si>
  <si>
    <t xml:space="preserve">Webasto</t>
  </si>
  <si>
    <t xml:space="preserve">Foshan Manufacturing</t>
  </si>
  <si>
    <t xml:space="preserve">Asia Pacific</t>
  </si>
  <si>
    <t xml:space="preserve">Zhejiang Components</t>
  </si>
  <si>
    <t xml:space="preserve">  Portfolio Summary — Auto-calculated</t>
  </si>
  <si>
    <t xml:space="preserve">  REI Interpretation Guide</t>
  </si>
  <si>
    <t xml:space="preserve">REI &gt; 4 weeks</t>
  </si>
  <si>
    <t xml:space="preserve">High Risk</t>
  </si>
  <si>
    <t xml:space="preserve">Supplier takes significantly longer to recover than KLA can survive. Immediate mitigation required.</t>
  </si>
  <si>
    <t xml:space="preserve">REI 1-4 weeks</t>
  </si>
  <si>
    <t xml:space="preserve">Medium Risk</t>
  </si>
  <si>
    <t xml:space="preserve">Supplier recovery slightly exceeds KLA survival window. Monitor closely and develop contingency.</t>
  </si>
  <si>
    <t xml:space="preserve">REI ≤ 0 weeks</t>
  </si>
  <si>
    <t xml:space="preserve">Low Risk</t>
  </si>
  <si>
    <t xml:space="preserve">KLA can survive longer than supplier recovery time. Acceptable risk level.</t>
  </si>
  <si>
    <t xml:space="preserve">Single Source = Yes</t>
  </si>
  <si>
    <t xml:space="preserve">Automatic P1</t>
  </si>
  <si>
    <t xml:space="preserve">Regardless of REI score, single-source suppliers are always Critical P1.</t>
  </si>
  <si>
    <t xml:space="preserve">Financial Risk = Yes</t>
  </si>
  <si>
    <t xml:space="preserve">Watch List</t>
  </si>
  <si>
    <t xml:space="preserve">Suppliers with financial stress flags are placed on Watch List regardless of other scores.</t>
  </si>
  <si>
    <t xml:space="preserve">Step 2 — Supplier Master List  |  Contact database. Segment auto-pulled from REI Prioritization.</t>
  </si>
  <si>
    <t xml:space="preserve">  ► Yellow cells = enter contact data. Segment and Escalation Window pull automatically from Sheet 1. Never re-enter supplier names — they must match Sheet 1 exactly.</t>
  </si>
  <si>
    <t xml:space="preserve">Segment
(from Sheet 1)</t>
  </si>
  <si>
    <t xml:space="preserve">Primary Contact</t>
  </si>
  <si>
    <t xml:space="preserve">Contact Email</t>
  </si>
  <si>
    <t xml:space="preserve">Backup Contact</t>
  </si>
  <si>
    <t xml:space="preserve">Portal Status</t>
  </si>
  <si>
    <t xml:space="preserve">Active?</t>
  </si>
  <si>
    <t xml:space="preserve">Escalation Window
(from Sheet 1)</t>
  </si>
  <si>
    <t xml:space="preserve">Notes</t>
  </si>
  <si>
    <t xml:space="preserve">Anna Muller</t>
  </si>
  <si>
    <t xml:space="preserve">a.muller@bosch.com</t>
  </si>
  <si>
    <t xml:space="preserve">Klaus Weber</t>
  </si>
  <si>
    <t xml:space="preserve">Registered</t>
  </si>
  <si>
    <t xml:space="preserve">Single source — sensor module</t>
  </si>
  <si>
    <t xml:space="preserve">Steve Hunt</t>
  </si>
  <si>
    <t xml:space="preserve">s.hunt@borgwarner.com</t>
  </si>
  <si>
    <t xml:space="preserve">Diana Ross</t>
  </si>
  <si>
    <t xml:space="preserve">Single source — drivetrain</t>
  </si>
  <si>
    <t xml:space="preserve">Mike Johnson</t>
  </si>
  <si>
    <t xml:space="preserve">m.johnson@gentex.com</t>
  </si>
  <si>
    <t xml:space="preserve">Amy Park</t>
  </si>
  <si>
    <t xml:space="preserve">John Smith</t>
  </si>
  <si>
    <t xml:space="preserve">j.smith@magna.com</t>
  </si>
  <si>
    <t xml:space="preserve">Sarah Lee</t>
  </si>
  <si>
    <t xml:space="preserve">James O'Brien</t>
  </si>
  <si>
    <t xml:space="preserve">j.obrien@aptiv.com</t>
  </si>
  <si>
    <t xml:space="preserve">Elena Kovac</t>
  </si>
  <si>
    <t xml:space="preserve">Pierre Dupont</t>
  </si>
  <si>
    <t xml:space="preserve">p.dupont@yanfeng.com</t>
  </si>
  <si>
    <t xml:space="preserve">Marie Chen</t>
  </si>
  <si>
    <t xml:space="preserve">Tom Bradley</t>
  </si>
  <si>
    <t xml:space="preserve">t.bradley@lear.com</t>
  </si>
  <si>
    <t xml:space="preserve">Nancy Wu</t>
  </si>
  <si>
    <t xml:space="preserve">Carlos Diaz</t>
  </si>
  <si>
    <t xml:space="preserve">c.diaz@antolin.com</t>
  </si>
  <si>
    <t xml:space="preserve">Rosa Martinez</t>
  </si>
  <si>
    <t xml:space="preserve">Ravi Verma</t>
  </si>
  <si>
    <t xml:space="preserve">r.verma@motherson.com</t>
  </si>
  <si>
    <t xml:space="preserve">Sunita Rao</t>
  </si>
  <si>
    <t xml:space="preserve">Rachel Green</t>
  </si>
  <si>
    <t xml:space="preserve">r.green@adient.com</t>
  </si>
  <si>
    <t xml:space="preserve">Raj Patel</t>
  </si>
  <si>
    <t xml:space="preserve">r.patel@tata.com</t>
  </si>
  <si>
    <t xml:space="preserve">Priya Shah</t>
  </si>
  <si>
    <t xml:space="preserve">Pending</t>
  </si>
  <si>
    <t xml:space="preserve">Portal registration overdue</t>
  </si>
  <si>
    <t xml:space="preserve">Amit Kumar</t>
  </si>
  <si>
    <t xml:space="preserve">a.kumar@minda.com</t>
  </si>
  <si>
    <t xml:space="preserve">Hans Becker</t>
  </si>
  <si>
    <t xml:space="preserve">h.becker@webasto.com</t>
  </si>
  <si>
    <t xml:space="preserve">Wei Zhang</t>
  </si>
  <si>
    <t xml:space="preserve">⚠ MISSING — update urgently</t>
  </si>
  <si>
    <t xml:space="preserve">Liu Yang</t>
  </si>
  <si>
    <t xml:space="preserve">Not Registered</t>
  </si>
  <si>
    <t xml:space="preserve">⚠ Missing email — outreach bouncing</t>
  </si>
  <si>
    <t xml:space="preserve">Chen Li</t>
  </si>
  <si>
    <t xml:space="preserve">c.li@zhejiang.com</t>
  </si>
  <si>
    <t xml:space="preserve">2 delivery failures Q1</t>
  </si>
  <si>
    <t xml:space="preserve">  Cell Legend:  Yellow = enter your data  |  Teal = auto-calculated from Sheet 1  |  Do not edit teal cells</t>
  </si>
  <si>
    <t xml:space="preserve">Step 3 — Campaign Calendar  |  Annual program plan. Escalation windows driven by REI segments.</t>
  </si>
  <si>
    <t xml:space="preserve">  ► Plan all campaigns before the year starts. Escalation window per segment is set in Sheet 1 and flows through automatically.</t>
  </si>
  <si>
    <t xml:space="preserve">Campaign Name</t>
  </si>
  <si>
    <t xml:space="preserve">Campaign Type</t>
  </si>
  <si>
    <t xml:space="preserve">Owner</t>
  </si>
  <si>
    <t xml:space="preserve">Target Segment</t>
  </si>
  <si>
    <t xml:space="preserve">Frequency</t>
  </si>
  <si>
    <t xml:space="preserve">Quarter</t>
  </si>
  <si>
    <t xml:space="preserve">Collection Window</t>
  </si>
  <si>
    <t xml:space="preserve">Escalation Trigger Rule</t>
  </si>
  <si>
    <t xml:space="preserve">Output / Deliverable</t>
  </si>
  <si>
    <t xml:space="preserve">  Regulatory Compliance</t>
  </si>
  <si>
    <t xml:space="preserve">CO2 Emissions Collection</t>
  </si>
  <si>
    <t xml:space="preserve">Regulatory Compliance</t>
  </si>
  <si>
    <t xml:space="preserve">Program Manager</t>
  </si>
  <si>
    <t xml:space="preserve">All suppliers</t>
  </si>
  <si>
    <t xml:space="preserve">Quarterly</t>
  </si>
  <si>
    <t xml:space="preserve">Q1,Q2,Q3,Q4</t>
  </si>
  <si>
    <t xml:space="preserve">4 weeks</t>
  </si>
  <si>
    <t xml:space="preserve">P1: 7d  |  P2: 14d  |  P3: 21d  |  Watch: Immediate</t>
  </si>
  <si>
    <t xml:space="preserve">CO2 data submitted to compliance team</t>
  </si>
  <si>
    <t xml:space="preserve">CBAM Certificate Collection</t>
  </si>
  <si>
    <t xml:space="preserve">EU-bound suppliers</t>
  </si>
  <si>
    <t xml:space="preserve">3 weeks</t>
  </si>
  <si>
    <t xml:space="preserve">CBAM certificates filed</t>
  </si>
  <si>
    <t xml:space="preserve">Conflict Minerals (CMRT)</t>
  </si>
  <si>
    <t xml:space="preserve">All Tier 1 &amp; Tier 2</t>
  </si>
  <si>
    <t xml:space="preserve">Annual</t>
  </si>
  <si>
    <t xml:space="preserve">Q1</t>
  </si>
  <si>
    <t xml:space="preserve">6 weeks</t>
  </si>
  <si>
    <t xml:space="preserve">P1: 7d  |  P2: 14d  |  P3: 21d</t>
  </si>
  <si>
    <t xml:space="preserve">CMRT filed with SEC</t>
  </si>
  <si>
    <t xml:space="preserve">Substance Compliance RoHS/REACH</t>
  </si>
  <si>
    <t xml:space="preserve">Regulated material suppliers</t>
  </si>
  <si>
    <t xml:space="preserve">Q2</t>
  </si>
  <si>
    <t xml:space="preserve">Material compliance DB updated</t>
  </si>
  <si>
    <t xml:space="preserve">  Risk &amp; Financial Health</t>
  </si>
  <si>
    <t xml:space="preserve">Annual Supplier Risk Assessment</t>
  </si>
  <si>
    <t xml:space="preserve">Risk &amp; Financial Health</t>
  </si>
  <si>
    <t xml:space="preserve">All P1 + P2 suppliers</t>
  </si>
  <si>
    <t xml:space="preserve">Q3</t>
  </si>
  <si>
    <t xml:space="preserve">8 weeks</t>
  </si>
  <si>
    <t xml:space="preserve">P1: 7d  |  P2: 14d  |  Watch: Immediate</t>
  </si>
  <si>
    <t xml:space="preserve">Risk register + REI scores updated</t>
  </si>
  <si>
    <t xml:space="preserve">Business Continuity Assessment</t>
  </si>
  <si>
    <t xml:space="preserve">P1 + single-source suppliers</t>
  </si>
  <si>
    <t xml:space="preserve">P1: 7d  |  Watch: Immediate</t>
  </si>
  <si>
    <t xml:space="preserve">BCP status per supplier</t>
  </si>
  <si>
    <t xml:space="preserve">Sub-tier Supplier Visibility</t>
  </si>
  <si>
    <t xml:space="preserve">Critical commodity Tier 1</t>
  </si>
  <si>
    <t xml:space="preserve">Q4</t>
  </si>
  <si>
    <t xml:space="preserve">P1: 7d  |  P2: 14d</t>
  </si>
  <si>
    <t xml:space="preserve">Sub-tier map updated</t>
  </si>
  <si>
    <t xml:space="preserve">  Performance &amp; Corrective Action</t>
  </si>
  <si>
    <t xml:space="preserve">Corrective Action — Quality</t>
  </si>
  <si>
    <t xml:space="preserve">Performance &amp; Corrective Action</t>
  </si>
  <si>
    <t xml:space="preserve">Supplier Quality Eng + PM</t>
  </si>
  <si>
    <t xml:space="preserve">Suppliers with reject rate &gt;2%</t>
  </si>
  <si>
    <t xml:space="preserve">Event-triggered</t>
  </si>
  <si>
    <t xml:space="preserve">As needed</t>
  </si>
  <si>
    <t xml:space="preserve">2 weeks</t>
  </si>
  <si>
    <t xml:space="preserve">All segments: 7d — performance issue</t>
  </si>
  <si>
    <t xml:space="preserve">CAP accepted or supplier escalated</t>
  </si>
  <si>
    <t xml:space="preserve">Corrective Action — Delivery</t>
  </si>
  <si>
    <t xml:space="preserve">Sourcing + PM</t>
  </si>
  <si>
    <t xml:space="preserve">Suppliers with 2+ late deliveries</t>
  </si>
  <si>
    <t xml:space="preserve">Delivery plan accepted or watch list</t>
  </si>
  <si>
    <t xml:space="preserve">  Contact &amp; Master Data</t>
  </si>
  <si>
    <t xml:space="preserve">Contact Verification</t>
  </si>
  <si>
    <t xml:space="preserve">Contact &amp; Master Data</t>
  </si>
  <si>
    <t xml:space="preserve">Full supply base</t>
  </si>
  <si>
    <t xml:space="preserve">Semi-annual</t>
  </si>
  <si>
    <t xml:space="preserve">Q1 + Q3</t>
  </si>
  <si>
    <t xml:space="preserve">P1: 7d  |  P2: 14d  |  P3: 21d  |  P4: 30d</t>
  </si>
  <si>
    <t xml:space="preserve">Contact DB verified</t>
  </si>
  <si>
    <t xml:space="preserve">Supplier Code of Conduct</t>
  </si>
  <si>
    <t xml:space="preserve">All active suppliers</t>
  </si>
  <si>
    <t xml:space="preserve">100% sign-off on file</t>
  </si>
  <si>
    <t xml:space="preserve">Portal Registration</t>
  </si>
  <si>
    <t xml:space="preserve">New onboarding suppliers</t>
  </si>
  <si>
    <t xml:space="preserve">Ongoing</t>
  </si>
  <si>
    <t xml:space="preserve">All: 7d — onboarding milestone</t>
  </si>
  <si>
    <t xml:space="preserve">Supplier active in portal</t>
  </si>
  <si>
    <t xml:space="preserve">Step 4 — Campaign Tracker  |  Daily operations. Supplier data pulls from Master. Update STATUS only.</t>
  </si>
  <si>
    <t xml:space="preserve">  ► Only update the STATUS column (H) and Notes column (L). All other supplier data pulls automatically from Sheet 2. Yellow = your input. Teal = auto.</t>
  </si>
  <si>
    <t xml:space="preserve">Campaign Name:</t>
  </si>
  <si>
    <t xml:space="preserve">Q2 Compliance Data Collection — CO2 Emissions</t>
  </si>
  <si>
    <t xml:space="preserve">Owner:</t>
  </si>
  <si>
    <t xml:space="preserve">Tejaswi Sreerama — Program Manager</t>
  </si>
  <si>
    <t xml:space="preserve">Total Targeted:</t>
  </si>
  <si>
    <t xml:space="preserve">Total</t>
  </si>
  <si>
    <t xml:space="preserve">Responded</t>
  </si>
  <si>
    <t xml:space="preserve">Escalated</t>
  </si>
  <si>
    <t xml:space="preserve">Response Rate</t>
  </si>
  <si>
    <t xml:space="preserve">Escalation Rule:</t>
  </si>
  <si>
    <t xml:space="preserve">Per REI Segment — see Sheet 1 Column N</t>
  </si>
  <si>
    <t xml:space="preserve">Supplier Name
(from Master)</t>
  </si>
  <si>
    <t xml:space="preserve">Region
(auto)</t>
  </si>
  <si>
    <t xml:space="preserve">Tier
(auto)</t>
  </si>
  <si>
    <t xml:space="preserve">Email
(from Master)</t>
  </si>
  <si>
    <t xml:space="preserve">Outreach Sent</t>
  </si>
  <si>
    <t xml:space="preserve">Due Date</t>
  </si>
  <si>
    <t xml:space="preserve">STATUS
← update here</t>
  </si>
  <si>
    <t xml:space="preserve">Days Since
Outreach</t>
  </si>
  <si>
    <t xml:space="preserve">Days Until
Due</t>
  </si>
  <si>
    <t xml:space="preserve">Escalation Flag
(auto)</t>
  </si>
  <si>
    <t xml:space="preserve">Notes / Last Action</t>
  </si>
  <si>
    <t xml:space="preserve">2026-05-26</t>
  </si>
  <si>
    <t xml:space="preserve">2026-06-24</t>
  </si>
  <si>
    <t xml:space="preserve">OOO until Jun 10 — follow up then</t>
  </si>
  <si>
    <t xml:space="preserve">Reminder sent Jun 2</t>
  </si>
  <si>
    <t xml:space="preserve">First reminder sent Jun 2</t>
  </si>
  <si>
    <t xml:space="preserve">Email bouncing. Category manager notified Jun 1.</t>
  </si>
  <si>
    <t xml:space="preserve">2 reminders sent. Escalated to category manager Jun 1.</t>
  </si>
  <si>
    <t xml:space="preserve">Step 5 — Escalation Log  |  Auto-populated from Campaign Tracker. Document every action taken.</t>
  </si>
  <si>
    <t xml:space="preserve">  ► Escalated suppliers appear here automatically. Fill in Action Taken, Resolution Status, and Next Action. Every entry must have a date. This is your audit trail.</t>
  </si>
  <si>
    <t xml:space="preserve">Escalation Stage</t>
  </si>
  <si>
    <t xml:space="preserve">Contact Email
(from Master)</t>
  </si>
  <si>
    <t xml:space="preserve">Days Overdue</t>
  </si>
  <si>
    <t xml:space="preserve">Category Manager
(enter here)</t>
  </si>
  <si>
    <t xml:space="preserve">Action Taken
(enter here)</t>
  </si>
  <si>
    <t xml:space="preserve">Resolution Status</t>
  </si>
  <si>
    <t xml:space="preserve">Next Action + Date</t>
  </si>
  <si>
    <t xml:space="preserve">Stage 4 — Critical</t>
  </si>
  <si>
    <t xml:space="preserve">David Chen — david.chen@kla.com</t>
  </si>
  <si>
    <t xml:space="preserve">Jun 1 — Phone attempted, no answer. Jun 2 — Written notice sent.</t>
  </si>
  <si>
    <t xml:space="preserve">Open — 42 days overdue</t>
  </si>
  <si>
    <t xml:space="preserve">Jun 5 — Second phone attempt. If no response → Watch List review.</t>
  </si>
  <si>
    <t xml:space="preserve">Stage 3 — Escalated</t>
  </si>
  <si>
    <t xml:space="preserve">Jun 1 — Category manager emailed supplier directly.</t>
  </si>
  <si>
    <t xml:space="preserve">Open — Awaiting category manager response</t>
  </si>
  <si>
    <t xml:space="preserve">Jun 5 — Category manager follow-up call.</t>
  </si>
  <si>
    <t xml:space="preserve">Step 6 — Dashboard  |  Leadership reporting. All metrics update automatically from Campaign Tracker.</t>
  </si>
  <si>
    <t xml:space="preserve">  ► Do not edit this sheet. Share with leadership for monthly program health updates. All numbers are live.</t>
  </si>
  <si>
    <t xml:space="preserve">Total Suppliers</t>
  </si>
  <si>
    <t xml:space="preserve">  Response Rate by Region</t>
  </si>
  <si>
    <t xml:space="preserve">Rate %</t>
  </si>
  <si>
    <t xml:space="preserve">  Response Rate by Tier</t>
  </si>
  <si>
    <t xml:space="preserve">Tier 3</t>
  </si>
  <si>
    <t xml:space="preserve">  Supplier Portfolio by REI Segment</t>
  </si>
  <si>
    <t xml:space="preserve">Count</t>
  </si>
  <si>
    <t xml:space="preserve">Critical / P1</t>
  </si>
  <si>
    <t xml:space="preserve">Strategic / P2</t>
  </si>
  <si>
    <t xml:space="preserve">Preferred / P3</t>
  </si>
  <si>
    <t xml:space="preserve">Approved / P4</t>
  </si>
  <si>
    <t xml:space="preserve">  Gap Analysis — Auto-generated</t>
  </si>
  <si>
    <t xml:space="preserve">  Before vs After — Manual Effort Reduction</t>
  </si>
  <si>
    <t xml:space="preserve">Activity</t>
  </si>
  <si>
    <t xml:space="preserve">Before This Program</t>
  </si>
  <si>
    <t xml:space="preserve">After This Program</t>
  </si>
  <si>
    <t xml:space="preserve">Effort Saved</t>
  </si>
  <si>
    <t xml:space="preserve">Supplier outreach</t>
  </si>
  <si>
    <t xml:space="preserve">Individual emails from 5 different teams with no tracking</t>
  </si>
  <si>
    <t xml:space="preserve">Single structured campaign with full tracking and auto-reminders</t>
  </si>
  <si>
    <t xml:space="preserve">80% reduction in outreach effort</t>
  </si>
  <si>
    <t xml:space="preserve">Response tracking</t>
  </si>
  <si>
    <t xml:space="preserve">Manual spreadsheet checks — who responded to what email</t>
  </si>
  <si>
    <t xml:space="preserve">Auto-calculated in Campaign Tracker — live at all times</t>
  </si>
  <si>
    <t xml:space="preserve">Eliminates 4-6 hours per week</t>
  </si>
  <si>
    <t xml:space="preserve">Escalation management</t>
  </si>
  <si>
    <t xml:space="preserve">Remembered by whoever sent the email — no system</t>
  </si>
  <si>
    <t xml:space="preserve">Auto-flagged by escalation rule, logged with audit trail</t>
  </si>
  <si>
    <t xml:space="preserve">Zero escalations missed</t>
  </si>
  <si>
    <t xml:space="preserve">Contact data</t>
  </si>
  <si>
    <t xml:space="preserve">Scattered across individual inboxes and old spreadsheets</t>
  </si>
  <si>
    <t xml:space="preserve">Single verified master list, semi-annual governance process</t>
  </si>
  <si>
    <t xml:space="preserve">Contact bounce rate reduced by 90%</t>
  </si>
  <si>
    <t xml:space="preserve">Leadership reporting</t>
  </si>
  <si>
    <t xml:space="preserve">Ad hoc requests, manually compiled each time</t>
  </si>
  <si>
    <t xml:space="preserve">One-click dashboard, auto-updated, ready to share monthly</t>
  </si>
  <si>
    <t xml:space="preserve">3-4 hours per month saved</t>
  </si>
  <si>
    <t xml:space="preserve">Step 7 — Email Templates  |  Ready-to-use outreach. Replace {brackets} before sending.</t>
  </si>
  <si>
    <t xml:space="preserve">  ► Copy the relevant template, replace all {curly bracket} items with actual values, paste into your email client. Priority and tone should match the supplier's REI segment.</t>
  </si>
  <si>
    <t xml:space="preserve">    TEMPLATE 1 — Compliance Data Request (P1/P2 — Urgent Tone)</t>
  </si>
  <si>
    <t xml:space="preserve">Subject: [KLA] Q{quarter} Compliance Data Request — ACTION REQUIRED by {due_date}
Dear {supplier_contact_name},
I am writing on behalf of KLA Corporation's Global Supply Chain team to request
Q{quarter} compliance data. As a {segment} supplier, your timely response is critical.
We require the following from your team:
  1. CO2 emissions data per part number shipped to KLA this quarter
  2. CBAM certificate (EU-bound shipments only — if applicable)
  3. Country of origin confirmation for all shipped components
What you need to do:
  → Complete the attached data template
  → Submit via {portal_link} or reply to this email
  → Due date: {due_date}
  → Your escalation window: {escalation_window} (from REI segment classification)
Please treat this as a priority. Contact me immediately if you have questions.
{your_name}
Supplier Communications &amp; Intelligence | KLA Corporation
{your_email} | {your_phone}</t>
  </si>
  <si>
    <t xml:space="preserve">    TEMPLATE 2 — Risk Assessment (Annual — All P1/P2 Suppliers)</t>
  </si>
  <si>
    <t xml:space="preserve">Subject: [KLA] Annual Supplier Risk Assessment — Response Required by {due_date}
Dear {supplier_contact_name},
KLA conducts an annual supplier risk assessment using the Risk Exposure Index (REI)
methodology to evaluate supply chain resilience across our global supply base.
As a {segment} supplier with REI classification {rei_score}, your participation
in this assessment is required.
Please complete the attached questionnaire covering:
  1. Time to Recover (TTR): Estimated weeks to resume normal supply if disruption occurs
  2. Single-source dependencies in your own supply chain
  3. Financial health indicators (audited financials or equivalent)
  4. Business continuity and disaster recovery plan status
  5. Sub-tier supplier visibility for components critical to KLA
What you need to do:
  → Complete the attached Risk Assessment Questionnaire
  → Submit via {portal_link} or reply to this email
  → Due date: {due_date}
Responses are treated as confidential and used solely for KLA's supply chain
risk management program.
{your_name}
Supplier Communications &amp; Intelligence | KLA Corporation
{your_email} | {your_phone}</t>
  </si>
  <si>
    <t xml:space="preserve">    TEMPLATE 3 — Corrective Action Request</t>
  </si>
  <si>
    <t xml:space="preserve">Subject: [KLA] Corrective Action Request — {issue_type} — Response Required by {due_date}
Dear {supplier_contact_name},
KLA has identified a performance issue requiring a formal corrective action response.
Issue details:
  • Issue type: {issue_type}
  • Date of occurrence: {issue_date}
  • Part number(s) affected: {part_numbers}
  • Impact to KLA: {impact_description}
What we need from you by {due_date}:
  1. Root Cause Analysis — what caused this issue
  2. Corrective Action Plan — steps to prevent recurrence with target dates
  3. Containment actions — what you have already done
  4. Evidence of corrective measures taken
Note: As a {segment} supplier, your response SLA is {escalation_window}.
Failure to respond triggers escalation to your KLA category manager.
{your_name} / {quality_engineer_name}
Supplier Quality &amp; Communications | KLA Corporation
{your_email} | {your_phone}</t>
  </si>
  <si>
    <t xml:space="preserve">    TEMPLATE 4 — Contact Verification</t>
  </si>
  <si>
    <t xml:space="preserve">Subject: [KLA] Supplier Contact Verification — Please Confirm Your Details
Dear {supplier_contact_name},
As part of KLA's semi-annual supplier data maintenance, we are verifying contact
records to ensure accurate outreach across our global supply base.
Please confirm or update the following:
  1. Primary procurement contact: Name, title, email, direct phone
  2. Backup contact: Name, title, email, direct phone
  3. Management escalation contact: Name, title, email, direct phone
  4. Any changes to company name, address, or ownership in the last 6 months
What you need to do:
  → Reply to this email with confirmed or updated details
  → Or update directly in KLA's supplier portal: {portal_link}
  → Due date: {due_date}
This takes approximately 5 minutes and ensures you continue to receive timely
communications from KLA without disruption.
{your_name}
Supplier Communications &amp; Intelligence | KLA Corporation
{your_email} | {your_phone}</t>
  </si>
  <si>
    <t xml:space="preserve">    TEMPLATE 5 — Escalation Reminder (Stage 2) — Watch List / P1 Suppliers</t>
  </si>
  <si>
    <t xml:space="preserve">Subject: [KLA] URGENT: {campaign_name} — Response Overdue — Escalating {escalation_date}
Dear {supplier_contact_name},
This is our second reminder regarding {campaign_name}. Our records show no response
despite initial outreach on {original_send_date} and a first reminder on {reminder_1_date}.
Your supplier classification: {segment}
Your escalation window: {escalation_window}
Current days since outreach: {days_since_outreach}
What is still needed: {outstanding_items}
If we do not receive a response or direct acknowledgment by {final_deadline},
this matter will be escalated to your KLA category manager for direct contact,
and your supplier status will be reviewed.
We value our partnership and want to resolve this together. Please respond today.
{your_name}
Supplier Communications &amp; Intelligence | KLA Corporation
{your_email} | {your_phone}</t>
  </si>
  <si>
    <t xml:space="preserve">Trend Analysis  |  Quarter-over-quarter performance tracking and pattern identification</t>
  </si>
  <si>
    <t xml:space="preserve">  Update the response rate inputs each quarter. Charts and trend analysis update automatically. Use this to identify consistently underperforming regions or campaign types.</t>
  </si>
  <si>
    <t xml:space="preserve">  Response Rate by Region — Quarter over Quarter</t>
  </si>
  <si>
    <t xml:space="preserve">Q3 2025</t>
  </si>
  <si>
    <t xml:space="preserve">Q4 2025</t>
  </si>
  <si>
    <t xml:space="preserve">Q1 2026</t>
  </si>
  <si>
    <t xml:space="preserve">Q2 2026</t>
  </si>
  <si>
    <t xml:space="preserve">Trend</t>
  </si>
  <si>
    <t xml:space="preserve">Assessment</t>
  </si>
  <si>
    <t xml:space="preserve">Improving</t>
  </si>
  <si>
    <t xml:space="preserve">Consistently strong — maintain cadence</t>
  </si>
  <si>
    <t xml:space="preserve">Critical gap — immediate intervention required</t>
  </si>
  <si>
    <t xml:space="preserve">Improving but below target</t>
  </si>
  <si>
    <t xml:space="preserve">Below target — increase follow-up frequency and localize messaging</t>
  </si>
  <si>
    <t xml:space="preserve">On target</t>
  </si>
  <si>
    <t xml:space="preserve">  Target response rate: 85% per campaign  |  Any region below 70% triggers localized outreach strategy review</t>
  </si>
  <si>
    <t xml:space="preserve">  Response Rate by Campaign Type — Quarter over Quarter</t>
  </si>
  <si>
    <t xml:space="preserve">Pattern</t>
  </si>
  <si>
    <t xml:space="preserve">Root Cause / Action</t>
  </si>
  <si>
    <t xml:space="preserve">Compliance Data Collection</t>
  </si>
  <si>
    <t xml:space="preserve">Structured templates and portal submission improving completion rates</t>
  </si>
  <si>
    <t xml:space="preserve">Risk Assessment</t>
  </si>
  <si>
    <t xml:space="preserve">Longer collection window (8 weeks) helping Tier 2 suppliers</t>
  </si>
  <si>
    <t xml:space="preserve">Corrective Action</t>
  </si>
  <si>
    <t xml:space="preserve">Strong</t>
  </si>
  <si>
    <t xml:space="preserve">7-day SLA and category manager involvement driving fast response</t>
  </si>
  <si>
    <t xml:space="preserve">Semi-annual cadence well-established with supply base</t>
  </si>
  <si>
    <t xml:space="preserve">  Emerging Trends and Recommended Actions</t>
  </si>
  <si>
    <t xml:space="preserve">  Trend: Asia Pacific consistently below target across all campaign types</t>
  </si>
  <si>
    <t xml:space="preserve">  Action: Language barrier and time zone gap slowing response. Recommend local language templates and regional follow-up agent.</t>
  </si>
  <si>
    <t xml:space="preserve">  Trend: Corrective action campaigns have highest response rate (93%)</t>
  </si>
  <si>
    <t xml:space="preserve">  Action: Supplier accountability highest when personal consequence is clear. Apply same urgency framing to compliance campaigns.</t>
  </si>
  <si>
    <t xml:space="preserve">  Trend: Q1 response rates consistently highest across all regions</t>
  </si>
  <si>
    <t xml:space="preserve">  Action: Suppliers more responsive at fiscal year start. Schedule critical compliance campaigns in Q1.</t>
  </si>
  <si>
    <t xml:space="preserve">  Trend: Watch List suppliers have 0% response rate without category manager involvement</t>
  </si>
  <si>
    <t xml:space="preserve">  Action: Program Manager outreach alone insufficient for Watch List. Category manager must co-own from Stage 1.</t>
  </si>
  <si>
    <t xml:space="preserve">  Trend: Contact data decay rate approximately 15% per year</t>
  </si>
  <si>
    <t xml:space="preserve">  Action: Semi-annual verification not sufficient for high-churn regions. India and Asia Pacific need quarterly verification.</t>
  </si>
  <si>
    <t xml:space="preserve">Contact Governance  |  How supplier contact data is maintained, validated, and kept accurate over time</t>
  </si>
  <si>
    <t xml:space="preserve">  This sheet defines the process for maintaining contact data accuracy. Update Last Verified and Next Review dates as you complete verification cycles.</t>
  </si>
  <si>
    <t xml:space="preserve">  Contact Data Governance Process</t>
  </si>
  <si>
    <t xml:space="preserve">Process Step</t>
  </si>
  <si>
    <t xml:space="preserve">Trigger</t>
  </si>
  <si>
    <t xml:space="preserve">Action Required</t>
  </si>
  <si>
    <t xml:space="preserve">Timeline</t>
  </si>
  <si>
    <t xml:space="preserve">1. Initial Onboarding</t>
  </si>
  <si>
    <t xml:space="preserve">When supplier is added to master list</t>
  </si>
  <si>
    <t xml:space="preserve">Collect primary, backup, and escalation contacts. Verify email is valid. Register in portal.</t>
  </si>
  <si>
    <t xml:space="preserve">Day 0</t>
  </si>
  <si>
    <t xml:space="preserve">2. Semi-Annual Verification</t>
  </si>
  <si>
    <t xml:space="preserve">Every 6 months — Q1 and Q3</t>
  </si>
  <si>
    <t xml:space="preserve">Send Contact Verification campaign to all active suppliers. Update master list within 1 week of close.</t>
  </si>
  <si>
    <t xml:space="preserve">Q1 and Q3</t>
  </si>
  <si>
    <t xml:space="preserve">3. Bounce Detection</t>
  </si>
  <si>
    <t xml:space="preserve">Any time outreach email bounces</t>
  </si>
  <si>
    <t xml:space="preserve">Flag supplier in master list. Attempt backup contact within 48 hours. Escalate to category manager if backup also fails.</t>
  </si>
  <si>
    <t xml:space="preserve">Within 48 hours</t>
  </si>
  <si>
    <t xml:space="preserve">4. Personnel Change Alert</t>
  </si>
  <si>
    <t xml:space="preserve">When supplier notifies of contact change</t>
  </si>
  <si>
    <t xml:space="preserve">Supplier notifies Program Manager</t>
  </si>
  <si>
    <t xml:space="preserve">Update master list immediately. Send welcome outreach to new contact within 1 week.</t>
  </si>
  <si>
    <t xml:space="preserve">Within 1 week</t>
  </si>
  <si>
    <t xml:space="preserve">5. Annual Audit</t>
  </si>
  <si>
    <t xml:space="preserve">Every Q4</t>
  </si>
  <si>
    <t xml:space="preserve">Program Manager and IT</t>
  </si>
  <si>
    <t xml:space="preserve">Full audit of supplier contact database. Cross-check against portal registrations. Report data completeness to leadership.</t>
  </si>
  <si>
    <t xml:space="preserve">Q4 annually</t>
  </si>
  <si>
    <t xml:space="preserve">  Contact Health Tracker — Current Status</t>
  </si>
  <si>
    <t xml:space="preserve">Last Verified</t>
  </si>
  <si>
    <t xml:space="preserve">Next Review Due</t>
  </si>
  <si>
    <t xml:space="preserve">Email Status</t>
  </si>
  <si>
    <t xml:space="preserve">2026-03-01</t>
  </si>
  <si>
    <t xml:space="preserve">2026-09-01</t>
  </si>
  <si>
    <t xml:space="preserve">Verified</t>
  </si>
  <si>
    <t xml:space="preserve">None</t>
  </si>
  <si>
    <t xml:space="preserve">2025-09-01</t>
  </si>
  <si>
    <t xml:space="preserve">Complete portal registration</t>
  </si>
  <si>
    <t xml:space="preserve">2025-03-01</t>
  </si>
  <si>
    <t xml:space="preserve">BOUNCING</t>
  </si>
  <si>
    <t xml:space="preserve">URGENT: find valid email via category manager</t>
  </si>
  <si>
    <t xml:space="preserve">  Contact Health Summary</t>
  </si>
  <si>
    <t xml:space="preserve">Internal Stakeholder Communications  |  How the Program Manager partners with internal teams</t>
  </si>
  <si>
    <t xml:space="preserve">  This sheet defines the internal communication cadence. Update Status column as meetings and reports are delivered.</t>
  </si>
  <si>
    <t xml:space="preserve">  Internal Stakeholder Engagement Cadence</t>
  </si>
  <si>
    <t xml:space="preserve">Stakeholder</t>
  </si>
  <si>
    <t xml:space="preserve">Meeting Type</t>
  </si>
  <si>
    <t xml:space="preserve">Purpose</t>
  </si>
  <si>
    <t xml:space="preserve">Program Manager Delivers</t>
  </si>
  <si>
    <t xml:space="preserve">Status</t>
  </si>
  <si>
    <t xml:space="preserve">Global Operations Leadership</t>
  </si>
  <si>
    <t xml:space="preserve">Monthly Program Health Report</t>
  </si>
  <si>
    <t xml:space="preserve">Monthly</t>
  </si>
  <si>
    <t xml:space="preserve">Report overall response rates, escalations, and program health vs targets</t>
  </si>
  <si>
    <t xml:space="preserve">Dashboard summary, gap analysis, recommended actions, next month priorities</t>
  </si>
  <si>
    <t xml:space="preserve">Active</t>
  </si>
  <si>
    <t xml:space="preserve">Sourcing and Category Managers</t>
  </si>
  <si>
    <t xml:space="preserve">Weekly Escalation Review</t>
  </si>
  <si>
    <t xml:space="preserve">Weekly</t>
  </si>
  <si>
    <t xml:space="preserve">Align on escalated suppliers requiring category manager intervention</t>
  </si>
  <si>
    <t xml:space="preserve">Escalation log with supplier names, days overdue, and recommended actions</t>
  </si>
  <si>
    <t xml:space="preserve">Compliance Team</t>
  </si>
  <si>
    <t xml:space="preserve">Pre-Campaign Alignment</t>
  </si>
  <si>
    <t xml:space="preserve">Before each compliance campaign</t>
  </si>
  <si>
    <t xml:space="preserve">Confirm data requirements, regulatory deadlines, and submission format before launch</t>
  </si>
  <si>
    <t xml:space="preserve">Campaign brief with target suppliers, data template, and submission timeline</t>
  </si>
  <si>
    <t xml:space="preserve">Supplier Quality Engineering</t>
  </si>
  <si>
    <t xml:space="preserve">Corrective Action Review</t>
  </si>
  <si>
    <t xml:space="preserve">Bi-weekly</t>
  </si>
  <si>
    <t xml:space="preserve">Review open corrective actions and agree on escalation decisions</t>
  </si>
  <si>
    <t xml:space="preserve">Open CAR status by supplier with days outstanding and next actions</t>
  </si>
  <si>
    <t xml:space="preserve">IT and Data Team</t>
  </si>
  <si>
    <t xml:space="preserve">System and Data Review</t>
  </si>
  <si>
    <t xml:space="preserve">Review portal registrations, contact data completeness, and system issues</t>
  </si>
  <si>
    <t xml:space="preserve">Contact health report showing bouncing emails and incomplete profiles</t>
  </si>
  <si>
    <t xml:space="preserve">Finance Team</t>
  </si>
  <si>
    <t xml:space="preserve">CBAM and Cost Impact Brief</t>
  </si>
  <si>
    <t xml:space="preserve">Share carbon cost exposure from CBAM compliance data collected from suppliers</t>
  </si>
  <si>
    <t xml:space="preserve">CBAM cost liability estimate by supplier and region</t>
  </si>
  <si>
    <t xml:space="preserve">  Information Flow — What Each Team Provides to the Program Manager</t>
  </si>
  <si>
    <t xml:space="preserve">Team</t>
  </si>
  <si>
    <t xml:space="preserve">What They Provide</t>
  </si>
  <si>
    <t xml:space="preserve">When</t>
  </si>
  <si>
    <t xml:space="preserve">Used For</t>
  </si>
  <si>
    <t xml:space="preserve">Sourcing Team</t>
  </si>
  <si>
    <t xml:space="preserve">Supplier list with spend data and tier classification</t>
  </si>
  <si>
    <t xml:space="preserve">Annually and when new suppliers added</t>
  </si>
  <si>
    <t xml:space="preserve">REI scoring and segmentation in Sheet 1</t>
  </si>
  <si>
    <t xml:space="preserve">Regulatory deadlines, data requirements, submission format</t>
  </si>
  <si>
    <t xml:space="preserve">Campaign design and template creation</t>
  </si>
  <si>
    <t xml:space="preserve">CBAM liability calculations and EU shipment volumes</t>
  </si>
  <si>
    <t xml:space="preserve">Compliance campaign targeting and CBAM data validation</t>
  </si>
  <si>
    <t xml:space="preserve">Supplier Quality Eng</t>
  </si>
  <si>
    <t xml:space="preserve">Quality rejection rates and delivery failure data</t>
  </si>
  <si>
    <t xml:space="preserve">Watch list updates and corrective action campaign triggers</t>
  </si>
  <si>
    <t xml:space="preserve">IT Team</t>
  </si>
  <si>
    <t xml:space="preserve">Portal registration status, bounce reports, system issues</t>
  </si>
  <si>
    <t xml:space="preserve">Contact health tracker and supplier master updates</t>
  </si>
  <si>
    <t xml:space="preserve">Category Managers</t>
  </si>
  <si>
    <t xml:space="preserve">Escalation resolution outcomes and supplier commitments</t>
  </si>
  <si>
    <t xml:space="preserve">After each escalation</t>
  </si>
  <si>
    <t xml:space="preserve">Escalation log closure and supplier status updates</t>
  </si>
</sst>
</file>

<file path=xl/styles.xml><?xml version="1.0" encoding="utf-8"?>
<styleSheet xmlns="http://schemas.openxmlformats.org/spreadsheetml/2006/main">
  <numFmts count="3">
    <numFmt numFmtId="164" formatCode="General"/>
    <numFmt numFmtId="165" formatCode="General"/>
    <numFmt numFmtId="166" formatCode="0%"/>
  </numFmts>
  <fonts count="5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8"/>
      <color rgb="FFD97706"/>
      <name val="Arial"/>
      <family val="0"/>
      <charset val="1"/>
    </font>
    <font>
      <b val="true"/>
      <i val="true"/>
      <sz val="8"/>
      <color rgb="FF1E3A5F"/>
      <name val="Arial"/>
      <family val="0"/>
      <charset val="1"/>
    </font>
    <font>
      <b val="true"/>
      <sz val="9"/>
      <color rgb="FFFFFFFF"/>
      <name val="Arial"/>
      <family val="0"/>
      <charset val="1"/>
    </font>
    <font>
      <i val="true"/>
      <sz val="7"/>
      <color rgb="FF64748B"/>
      <name val="Arial"/>
      <family val="0"/>
      <charset val="1"/>
    </font>
    <font>
      <b val="true"/>
      <sz val="9"/>
      <color rgb="FF1E293B"/>
      <name val="Arial"/>
      <family val="0"/>
      <charset val="1"/>
    </font>
    <font>
      <sz val="9"/>
      <color rgb="FF1E293B"/>
      <name val="Arial"/>
      <family val="0"/>
      <charset val="1"/>
    </font>
    <font>
      <b val="true"/>
      <sz val="9"/>
      <color rgb="FFDC2626"/>
      <name val="Arial"/>
      <family val="0"/>
      <charset val="1"/>
    </font>
    <font>
      <b val="true"/>
      <sz val="9"/>
      <color rgb="FF0D9488"/>
      <name val="Arial"/>
      <family val="0"/>
      <charset val="1"/>
    </font>
    <font>
      <b val="true"/>
      <sz val="9"/>
      <color rgb="FFD97706"/>
      <name val="Arial"/>
      <family val="0"/>
      <charset val="1"/>
    </font>
    <font>
      <b val="true"/>
      <sz val="9"/>
      <color rgb="FF16A34A"/>
      <name val="Arial"/>
      <family val="0"/>
      <charset val="1"/>
    </font>
    <font>
      <b val="true"/>
      <sz val="9"/>
      <color rgb="FFC2410C"/>
      <name val="Arial"/>
      <family val="0"/>
      <charset val="1"/>
    </font>
    <font>
      <b val="true"/>
      <sz val="9"/>
      <color rgb="FF1D4ED8"/>
      <name val="Arial"/>
      <family val="0"/>
      <charset val="1"/>
    </font>
    <font>
      <i val="true"/>
      <sz val="8"/>
      <color rgb="FF64748B"/>
      <name val="Arial"/>
      <family val="0"/>
      <charset val="1"/>
    </font>
    <font>
      <sz val="8"/>
      <color rgb="FF64748B"/>
      <name val="Arial"/>
      <family val="0"/>
      <charset val="1"/>
    </font>
    <font>
      <sz val="8"/>
      <color rgb="FFDC2626"/>
      <name val="Arial"/>
      <family val="0"/>
      <charset val="1"/>
    </font>
    <font>
      <b val="true"/>
      <sz val="9"/>
      <color rgb="FF065F46"/>
      <name val="Arial"/>
      <family val="0"/>
      <charset val="1"/>
    </font>
    <font>
      <b val="true"/>
      <sz val="9"/>
      <color rgb="FFB45309"/>
      <name val="Arial"/>
      <family val="0"/>
      <charset val="1"/>
    </font>
    <font>
      <b val="true"/>
      <sz val="9"/>
      <color rgb="FF7C3AED"/>
      <name val="Arial"/>
      <family val="0"/>
      <charset val="1"/>
    </font>
    <font>
      <b val="true"/>
      <sz val="8"/>
      <color rgb="FFFFFFFF"/>
      <name val="Arial"/>
      <family val="0"/>
      <charset val="1"/>
    </font>
    <font>
      <b val="true"/>
      <sz val="16"/>
      <color rgb="FFFFFFFF"/>
      <name val="Arial"/>
      <family val="0"/>
      <charset val="1"/>
    </font>
    <font>
      <b val="true"/>
      <sz val="16"/>
      <color rgb="FF16A34A"/>
      <name val="Arial"/>
      <family val="0"/>
      <charset val="1"/>
    </font>
    <font>
      <b val="true"/>
      <sz val="16"/>
      <color rgb="FFD97706"/>
      <name val="Arial"/>
      <family val="0"/>
      <charset val="1"/>
    </font>
    <font>
      <b val="true"/>
      <sz val="16"/>
      <color rgb="FFDC2626"/>
      <name val="Arial"/>
      <family val="0"/>
      <charset val="1"/>
    </font>
    <font>
      <b val="true"/>
      <sz val="16"/>
      <color rgb="FF0D9488"/>
      <name val="Arial"/>
      <family val="0"/>
      <charset val="1"/>
    </font>
    <font>
      <b val="true"/>
      <sz val="8"/>
      <color rgb="FF16A34A"/>
      <name val="Arial"/>
      <family val="0"/>
      <charset val="1"/>
    </font>
    <font>
      <b val="true"/>
      <sz val="8"/>
      <color rgb="FFD97706"/>
      <name val="Arial"/>
      <family val="0"/>
      <charset val="1"/>
    </font>
    <font>
      <b val="true"/>
      <sz val="8"/>
      <color rgb="FFDC2626"/>
      <name val="Arial"/>
      <family val="0"/>
      <charset val="1"/>
    </font>
    <font>
      <b val="true"/>
      <sz val="8"/>
      <color rgb="FF0D9488"/>
      <name val="Arial"/>
      <family val="0"/>
      <charset val="1"/>
    </font>
    <font>
      <i val="true"/>
      <sz val="8"/>
      <color rgb="FFDC2626"/>
      <name val="Arial"/>
      <family val="0"/>
      <charset val="1"/>
    </font>
    <font>
      <sz val="9"/>
      <color rgb="FFDC2626"/>
      <name val="Arial"/>
      <family val="0"/>
      <charset val="1"/>
    </font>
    <font>
      <sz val="8"/>
      <color rgb="FFD97706"/>
      <name val="Arial"/>
      <family val="0"/>
      <charset val="1"/>
    </font>
    <font>
      <b val="true"/>
      <sz val="8"/>
      <color rgb="FF64748B"/>
      <name val="Arial"/>
      <family val="0"/>
      <charset val="1"/>
    </font>
    <font>
      <b val="true"/>
      <sz val="20"/>
      <color rgb="FFFFFFFF"/>
      <name val="Arial"/>
      <family val="0"/>
      <charset val="1"/>
    </font>
    <font>
      <b val="true"/>
      <sz val="20"/>
      <color rgb="FF16A34A"/>
      <name val="Arial"/>
      <family val="0"/>
      <charset val="1"/>
    </font>
    <font>
      <b val="true"/>
      <sz val="20"/>
      <color rgb="FFD97706"/>
      <name val="Arial"/>
      <family val="0"/>
      <charset val="1"/>
    </font>
    <font>
      <b val="true"/>
      <sz val="20"/>
      <color rgb="FFDC2626"/>
      <name val="Arial"/>
      <family val="0"/>
      <charset val="1"/>
    </font>
    <font>
      <b val="true"/>
      <sz val="20"/>
      <color rgb="FF0D9488"/>
      <name val="Arial"/>
      <family val="0"/>
      <charset val="1"/>
    </font>
    <font>
      <sz val="8"/>
      <color rgb="FF16A34A"/>
      <name val="Arial"/>
      <family val="0"/>
      <charset val="1"/>
    </font>
    <font>
      <b val="true"/>
      <sz val="18"/>
      <color rgb="FF000000"/>
      <name val="Calibri"/>
      <family val="2"/>
    </font>
    <font>
      <sz val="10"/>
      <color rgb="FF000000"/>
      <name val="Calibri"/>
      <family val="2"/>
    </font>
    <font>
      <sz val="9"/>
      <color rgb="FF1E293B"/>
      <name val="Courier New"/>
      <family val="0"/>
      <charset val="1"/>
    </font>
    <font>
      <i val="true"/>
      <sz val="8"/>
      <color rgb="FF1D4ED8"/>
      <name val="Arial"/>
      <family val="0"/>
      <charset val="1"/>
    </font>
    <font>
      <sz val="9"/>
      <color rgb="FFD97706"/>
      <name val="Arial"/>
      <family val="0"/>
      <charset val="1"/>
    </font>
    <font>
      <sz val="9"/>
      <color rgb="FF16A34A"/>
      <name val="Arial"/>
      <family val="0"/>
      <charset val="1"/>
    </font>
    <font>
      <b val="true"/>
      <sz val="9"/>
      <color rgb="FF1E3A5F"/>
      <name val="Arial"/>
      <family val="0"/>
      <charset val="1"/>
    </font>
    <font>
      <b val="true"/>
      <sz val="10"/>
      <color rgb="FF000000"/>
      <name val="Calibri"/>
      <family val="2"/>
    </font>
    <font>
      <i val="true"/>
      <sz val="8"/>
      <color rgb="FF7C3AED"/>
      <name val="Arial"/>
      <family val="0"/>
      <charset val="1"/>
    </font>
    <font>
      <sz val="8"/>
      <color rgb="FF1E293B"/>
      <name val="Arial"/>
      <family val="0"/>
      <charset val="1"/>
    </font>
    <font>
      <i val="true"/>
      <sz val="8"/>
      <color rgb="FF16A34A"/>
      <name val="Arial"/>
      <family val="0"/>
      <charset val="1"/>
    </font>
    <font>
      <sz val="8"/>
      <color rgb="FF0D9488"/>
      <name val="Arial"/>
      <family val="0"/>
      <charset val="1"/>
    </font>
  </fonts>
  <fills count="21">
    <fill>
      <patternFill patternType="none"/>
    </fill>
    <fill>
      <patternFill patternType="gray125"/>
    </fill>
    <fill>
      <patternFill patternType="solid">
        <fgColor rgb="FF1E3A5F"/>
        <bgColor rgb="FF1E293B"/>
      </patternFill>
    </fill>
    <fill>
      <patternFill patternType="solid">
        <fgColor rgb="FFFFFBEB"/>
        <bgColor rgb="FFFFF7ED"/>
      </patternFill>
    </fill>
    <fill>
      <patternFill patternType="solid">
        <fgColor rgb="FFEFF6FF"/>
        <bgColor rgb="FFF8FAFC"/>
      </patternFill>
    </fill>
    <fill>
      <patternFill patternType="solid">
        <fgColor rgb="FF0D9488"/>
        <bgColor rgb="FF16A34A"/>
      </patternFill>
    </fill>
    <fill>
      <patternFill patternType="solid">
        <fgColor rgb="FFD97706"/>
        <bgColor rgb="FFFF9900"/>
      </patternFill>
    </fill>
    <fill>
      <patternFill patternType="solid">
        <fgColor rgb="FFF8FAFC"/>
        <bgColor rgb="FFF9F9F9"/>
      </patternFill>
    </fill>
    <fill>
      <patternFill patternType="solid">
        <fgColor rgb="FFFFFFFF"/>
        <bgColor rgb="FFF8FAFC"/>
      </patternFill>
    </fill>
    <fill>
      <patternFill patternType="solid">
        <fgColor rgb="FFFFF9C4"/>
        <bgColor rgb="FFFFFBEB"/>
      </patternFill>
    </fill>
    <fill>
      <patternFill patternType="solid">
        <fgColor rgb="FFFEF2F2"/>
        <bgColor rgb="FFFFF7ED"/>
      </patternFill>
    </fill>
    <fill>
      <patternFill patternType="solid">
        <fgColor rgb="FFCCFBF1"/>
        <bgColor rgb="FFF0FDF4"/>
      </patternFill>
    </fill>
    <fill>
      <patternFill patternType="solid">
        <fgColor rgb="FFF0FDF4"/>
        <bgColor rgb="FFF8FAFC"/>
      </patternFill>
    </fill>
    <fill>
      <patternFill patternType="solid">
        <fgColor rgb="FFFFF7ED"/>
        <bgColor rgb="FFFFFBEB"/>
      </patternFill>
    </fill>
    <fill>
      <patternFill patternType="solid">
        <fgColor rgb="FF1D4ED8"/>
        <bgColor rgb="FF3366FF"/>
      </patternFill>
    </fill>
    <fill>
      <patternFill patternType="solid">
        <fgColor rgb="FFDC2626"/>
        <bgColor rgb="FFC2410C"/>
      </patternFill>
    </fill>
    <fill>
      <patternFill patternType="solid">
        <fgColor rgb="FF065F46"/>
        <bgColor rgb="FF1E3A5F"/>
      </patternFill>
    </fill>
    <fill>
      <patternFill patternType="solid">
        <fgColor rgb="FFB45309"/>
        <bgColor rgb="FFC2410C"/>
      </patternFill>
    </fill>
    <fill>
      <patternFill patternType="solid">
        <fgColor rgb="FF7C3AED"/>
        <bgColor rgb="FF333399"/>
      </patternFill>
    </fill>
    <fill>
      <patternFill patternType="solid">
        <fgColor rgb="FFFDF4FF"/>
        <bgColor rgb="FFFEF2F2"/>
      </patternFill>
    </fill>
    <fill>
      <patternFill patternType="solid">
        <fgColor rgb="FF16A34A"/>
        <bgColor rgb="FF0D9488"/>
      </patternFill>
    </fill>
  </fills>
  <borders count="8">
    <border diagonalUp="false" diagonalDown="false">
      <left/>
      <right/>
      <top/>
      <bottom/>
      <diagonal/>
    </border>
    <border diagonalUp="false" diagonalDown="false">
      <left style="thin">
        <color rgb="FF1D4ED8"/>
      </left>
      <right/>
      <top style="thin">
        <color rgb="FF1D4ED8"/>
      </top>
      <bottom style="thin">
        <color rgb="FF1D4ED8"/>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thin">
        <color rgb="FFD97706"/>
      </left>
      <right style="thin">
        <color rgb="FFD97706"/>
      </right>
      <top style="thin">
        <color rgb="FFD97706"/>
      </top>
      <bottom style="thin">
        <color rgb="FFD97706"/>
      </bottom>
      <diagonal/>
    </border>
    <border diagonalUp="false" diagonalDown="false">
      <left style="thin">
        <color rgb="FF0D9488"/>
      </left>
      <right style="thin">
        <color rgb="FF0D9488"/>
      </right>
      <top style="thin">
        <color rgb="FF0D9488"/>
      </top>
      <bottom style="thin">
        <color rgb="FF0D9488"/>
      </bottom>
      <diagonal/>
    </border>
    <border diagonalUp="false" diagonalDown="false">
      <left style="thin">
        <color rgb="FFCBD5E1"/>
      </left>
      <right/>
      <top style="thin">
        <color rgb="FFCBD5E1"/>
      </top>
      <bottom style="thin">
        <color rgb="FFCBD5E1"/>
      </bottom>
      <diagonal/>
    </border>
    <border diagonalUp="false" diagonalDown="false">
      <left style="thin">
        <color rgb="FFDC2626"/>
      </left>
      <right style="thin">
        <color rgb="FFDC2626"/>
      </right>
      <top style="thin">
        <color rgb="FFDC2626"/>
      </top>
      <bottom style="thin">
        <color rgb="FFDC2626"/>
      </bottom>
      <diagonal/>
    </border>
    <border diagonalUp="false" diagonalDown="false">
      <left style="thin">
        <color rgb="FF0D9488"/>
      </left>
      <right/>
      <top style="thin">
        <color rgb="FF0D9488"/>
      </top>
      <bottom style="thin">
        <color rgb="FF0D948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10" fillId="8" borderId="2" xfId="0" applyFont="true" applyBorder="true" applyAlignment="true" applyProtection="false">
      <alignment horizontal="left" vertical="center" textRotation="0" wrapText="true" indent="0" shrinkToFit="false"/>
      <protection locked="true" hidden="false"/>
    </xf>
    <xf numFmtId="164" fontId="10" fillId="9" borderId="3" xfId="0" applyFont="true" applyBorder="true" applyAlignment="true" applyProtection="false">
      <alignment horizontal="center" vertical="center" textRotation="0" wrapText="false" indent="0" shrinkToFit="false"/>
      <protection locked="true" hidden="false"/>
    </xf>
    <xf numFmtId="165" fontId="11" fillId="10" borderId="4" xfId="0" applyFont="true" applyBorder="true" applyAlignment="true" applyProtection="false">
      <alignment horizontal="center" vertical="center" textRotation="0" wrapText="true" indent="0" shrinkToFit="false"/>
      <protection locked="true" hidden="false"/>
    </xf>
    <xf numFmtId="164" fontId="10" fillId="9" borderId="3" xfId="0" applyFont="true" applyBorder="true" applyAlignment="true" applyProtection="false">
      <alignment horizontal="right" vertical="center" textRotation="0" wrapText="false" indent="0" shrinkToFit="false"/>
      <protection locked="true" hidden="false"/>
    </xf>
    <xf numFmtId="165" fontId="12" fillId="11" borderId="4" xfId="0" applyFont="true" applyBorder="true" applyAlignment="true" applyProtection="false">
      <alignment horizontal="center" vertical="center" textRotation="0" wrapText="true" indent="0" shrinkToFit="false"/>
      <protection locked="true" hidden="false"/>
    </xf>
    <xf numFmtId="164" fontId="11" fillId="10" borderId="2" xfId="0" applyFont="true" applyBorder="true" applyAlignment="true" applyProtection="false">
      <alignment horizontal="center" vertical="center" textRotation="0" wrapText="true" indent="0" shrinkToFit="false"/>
      <protection locked="true" hidden="false"/>
    </xf>
    <xf numFmtId="165" fontId="13" fillId="3" borderId="4" xfId="0" applyFont="true" applyBorder="true" applyAlignment="true" applyProtection="false">
      <alignment horizontal="center" vertical="center" textRotation="0" wrapText="true" indent="0" shrinkToFit="false"/>
      <protection locked="true" hidden="false"/>
    </xf>
    <xf numFmtId="164" fontId="14" fillId="12" borderId="2" xfId="0" applyFont="true" applyBorder="true" applyAlignment="true" applyProtection="false">
      <alignment horizontal="center" vertical="center" textRotation="0" wrapText="true" indent="0" shrinkToFit="false"/>
      <protection locked="true" hidden="false"/>
    </xf>
    <xf numFmtId="165" fontId="14" fillId="12" borderId="4" xfId="0" applyFont="true" applyBorder="true" applyAlignment="true" applyProtection="false">
      <alignment horizontal="center" vertical="center" textRotation="0" wrapText="true" indent="0" shrinkToFit="false"/>
      <protection locked="true" hidden="false"/>
    </xf>
    <xf numFmtId="164" fontId="15" fillId="13" borderId="2" xfId="0" applyFont="true" applyBorder="true" applyAlignment="true" applyProtection="false">
      <alignment horizontal="center" vertical="center" textRotation="0" wrapText="true" indent="0" shrinkToFit="false"/>
      <protection locked="true" hidden="false"/>
    </xf>
    <xf numFmtId="164" fontId="7" fillId="2" borderId="5" xfId="0" applyFont="true" applyBorder="true" applyAlignment="true" applyProtection="false">
      <alignment horizontal="left" vertical="center" textRotation="0" wrapText="true" indent="0" shrinkToFit="false"/>
      <protection locked="true" hidden="false"/>
    </xf>
    <xf numFmtId="164" fontId="11" fillId="10" borderId="5" xfId="0" applyFont="true" applyBorder="true" applyAlignment="true" applyProtection="false">
      <alignment horizontal="center" vertical="center" textRotation="0" wrapText="true" indent="0" shrinkToFit="false"/>
      <protection locked="true" hidden="false"/>
    </xf>
    <xf numFmtId="164" fontId="13" fillId="3" borderId="5" xfId="0" applyFont="true" applyBorder="true" applyAlignment="true" applyProtection="false">
      <alignment horizontal="center" vertical="center" textRotation="0" wrapText="true" indent="0" shrinkToFit="false"/>
      <protection locked="true" hidden="false"/>
    </xf>
    <xf numFmtId="164" fontId="16" fillId="4" borderId="5" xfId="0" applyFont="true" applyBorder="true" applyAlignment="true" applyProtection="false">
      <alignment horizontal="center" vertical="center" textRotation="0" wrapText="true" indent="0" shrinkToFit="false"/>
      <protection locked="true" hidden="false"/>
    </xf>
    <xf numFmtId="164" fontId="14" fillId="12" borderId="5" xfId="0" applyFont="true" applyBorder="true" applyAlignment="true" applyProtection="false">
      <alignment horizontal="center" vertical="center" textRotation="0" wrapText="true" indent="0" shrinkToFit="false"/>
      <protection locked="true" hidden="false"/>
    </xf>
    <xf numFmtId="164" fontId="15" fillId="13" borderId="5" xfId="0" applyFont="true" applyBorder="true" applyAlignment="true" applyProtection="false">
      <alignment horizontal="center" vertical="center" textRotation="0" wrapText="true" indent="0" shrinkToFit="false"/>
      <protection locked="true" hidden="false"/>
    </xf>
    <xf numFmtId="164" fontId="10" fillId="8" borderId="5" xfId="0" applyFont="true" applyBorder="true" applyAlignment="true" applyProtection="false">
      <alignment horizontal="left"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true" applyAlignment="true" applyProtection="false">
      <alignment horizontal="left" vertical="center" textRotation="0" wrapText="true" indent="0" shrinkToFit="false"/>
      <protection locked="true" hidden="false"/>
    </xf>
    <xf numFmtId="164" fontId="10" fillId="7" borderId="4" xfId="0" applyFont="true" applyBorder="true" applyAlignment="true" applyProtection="false">
      <alignment horizontal="left" vertical="center" textRotation="0" wrapText="true" indent="0" shrinkToFit="false"/>
      <protection locked="true" hidden="false"/>
    </xf>
    <xf numFmtId="164" fontId="10" fillId="9" borderId="3" xfId="0" applyFont="true" applyBorder="true" applyAlignment="true" applyProtection="false">
      <alignment horizontal="left" vertical="center" textRotation="0" wrapText="false" indent="0" shrinkToFit="false"/>
      <protection locked="true" hidden="false"/>
    </xf>
    <xf numFmtId="164" fontId="10" fillId="9" borderId="3" xfId="0" applyFont="true" applyBorder="true" applyAlignment="true" applyProtection="false">
      <alignment horizontal="left" vertical="center" textRotation="0" wrapText="true" indent="0" shrinkToFit="false"/>
      <protection locked="true" hidden="false"/>
    </xf>
    <xf numFmtId="164" fontId="14" fillId="12" borderId="3" xfId="0" applyFont="true" applyBorder="true" applyAlignment="true" applyProtection="false">
      <alignment horizontal="center" vertical="center" textRotation="0" wrapText="false" indent="0" shrinkToFit="false"/>
      <protection locked="true" hidden="false"/>
    </xf>
    <xf numFmtId="164" fontId="17" fillId="8" borderId="3" xfId="0" applyFont="true" applyBorder="true" applyAlignment="true" applyProtection="false">
      <alignment horizontal="left"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true" indent="0" shrinkToFit="false"/>
      <protection locked="true" hidden="false"/>
    </xf>
    <xf numFmtId="164" fontId="13" fillId="3" borderId="3" xfId="0" applyFont="true" applyBorder="true" applyAlignment="true" applyProtection="false">
      <alignment horizontal="center" vertical="center" textRotation="0" wrapText="false" indent="0" shrinkToFit="false"/>
      <protection locked="true" hidden="false"/>
    </xf>
    <xf numFmtId="164" fontId="11" fillId="10" borderId="6" xfId="0" applyFont="true" applyBorder="true" applyAlignment="true" applyProtection="false">
      <alignment horizontal="left"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false" indent="0" shrinkToFit="false"/>
      <protection locked="true" hidden="false"/>
    </xf>
    <xf numFmtId="164" fontId="7" fillId="14" borderId="2" xfId="0" applyFont="true" applyBorder="true" applyAlignment="true" applyProtection="false">
      <alignment horizontal="center" vertical="center" textRotation="0" wrapText="true" indent="0" shrinkToFit="false"/>
      <protection locked="true" hidden="false"/>
    </xf>
    <xf numFmtId="164" fontId="7" fillId="15" borderId="2" xfId="0" applyFont="true" applyBorder="true" applyAlignment="true" applyProtection="false">
      <alignment horizontal="center" vertical="center" textRotation="0" wrapText="true" indent="0" shrinkToFit="false"/>
      <protection locked="true" hidden="false"/>
    </xf>
    <xf numFmtId="164" fontId="7" fillId="14" borderId="5" xfId="0" applyFont="true" applyBorder="true" applyAlignment="true" applyProtection="false">
      <alignment horizontal="left" vertical="center" textRotation="0" wrapText="true" indent="0" shrinkToFit="false"/>
      <protection locked="true" hidden="false"/>
    </xf>
    <xf numFmtId="164" fontId="16" fillId="4" borderId="2" xfId="0" applyFont="true" applyBorder="true" applyAlignment="true" applyProtection="false">
      <alignment horizontal="left" vertical="center" textRotation="0" wrapText="true" indent="0" shrinkToFit="false"/>
      <protection locked="true" hidden="false"/>
    </xf>
    <xf numFmtId="164" fontId="18" fillId="8" borderId="2" xfId="0" applyFont="true" applyBorder="true" applyAlignment="true" applyProtection="false">
      <alignment horizontal="left" vertical="center" textRotation="0" wrapText="true" indent="0" shrinkToFit="false"/>
      <protection locked="true" hidden="false"/>
    </xf>
    <xf numFmtId="164" fontId="10" fillId="8" borderId="2" xfId="0" applyFont="true" applyBorder="true" applyAlignment="true" applyProtection="false">
      <alignment horizontal="center" vertical="center" textRotation="0" wrapText="true" indent="0" shrinkToFit="false"/>
      <protection locked="true" hidden="false"/>
    </xf>
    <xf numFmtId="164" fontId="19" fillId="10" borderId="2" xfId="0" applyFont="true" applyBorder="true" applyAlignment="true" applyProtection="false">
      <alignment horizontal="left" vertical="center" textRotation="0" wrapText="true" indent="0" shrinkToFit="false"/>
      <protection locked="true" hidden="false"/>
    </xf>
    <xf numFmtId="164" fontId="7" fillId="16" borderId="5" xfId="0" applyFont="true" applyBorder="true" applyAlignment="true" applyProtection="false">
      <alignment horizontal="left" vertical="center" textRotation="0" wrapText="true" indent="0" shrinkToFit="false"/>
      <protection locked="true" hidden="false"/>
    </xf>
    <xf numFmtId="164" fontId="20" fillId="12" borderId="2" xfId="0" applyFont="true" applyBorder="true" applyAlignment="true" applyProtection="false">
      <alignment horizontal="left" vertical="center" textRotation="0" wrapText="true" indent="0" shrinkToFit="false"/>
      <protection locked="true" hidden="false"/>
    </xf>
    <xf numFmtId="164" fontId="7" fillId="17" borderId="5" xfId="0" applyFont="true" applyBorder="true" applyAlignment="true" applyProtection="false">
      <alignment horizontal="left" vertical="center" textRotation="0" wrapText="true" indent="0" shrinkToFit="false"/>
      <protection locked="true" hidden="false"/>
    </xf>
    <xf numFmtId="164" fontId="21" fillId="3" borderId="2" xfId="0" applyFont="true" applyBorder="true" applyAlignment="true" applyProtection="false">
      <alignment horizontal="left" vertical="center" textRotation="0" wrapText="true" indent="0" shrinkToFit="false"/>
      <protection locked="true" hidden="false"/>
    </xf>
    <xf numFmtId="164" fontId="7" fillId="18" borderId="5" xfId="0" applyFont="true" applyBorder="true" applyAlignment="true" applyProtection="false">
      <alignment horizontal="left" vertical="center" textRotation="0" wrapText="true" indent="0" shrinkToFit="false"/>
      <protection locked="true" hidden="false"/>
    </xf>
    <xf numFmtId="164" fontId="22" fillId="19" borderId="2" xfId="0" applyFont="true" applyBorder="true" applyAlignment="true" applyProtection="false">
      <alignment horizontal="left" vertical="center" textRotation="0" wrapText="true" indent="0" shrinkToFit="false"/>
      <protection locked="true" hidden="false"/>
    </xf>
    <xf numFmtId="164" fontId="23" fillId="2" borderId="2" xfId="0" applyFont="true" applyBorder="true" applyAlignment="true" applyProtection="false">
      <alignment horizontal="right" vertical="center" textRotation="0" wrapText="true" indent="0" shrinkToFit="false"/>
      <protection locked="true" hidden="false"/>
    </xf>
    <xf numFmtId="164" fontId="0" fillId="12" borderId="2" xfId="0" applyFont="false" applyBorder="true" applyAlignment="true" applyProtection="false">
      <alignment horizontal="general" vertical="bottom" textRotation="0" wrapText="false" indent="0" shrinkToFit="false"/>
      <protection locked="true" hidden="false"/>
    </xf>
    <xf numFmtId="164" fontId="9" fillId="3" borderId="2" xfId="0" applyFont="true" applyBorder="true" applyAlignment="true" applyProtection="false">
      <alignment horizontal="left" vertical="center" textRotation="0" wrapText="true" indent="0" shrinkToFit="false"/>
      <protection locked="true" hidden="false"/>
    </xf>
    <xf numFmtId="164" fontId="0" fillId="10" borderId="2" xfId="0" applyFont="false" applyBorder="true" applyAlignment="true" applyProtection="false">
      <alignment horizontal="general" vertical="bottom" textRotation="0" wrapText="false" indent="0" shrinkToFit="false"/>
      <protection locked="true" hidden="false"/>
    </xf>
    <xf numFmtId="164" fontId="0" fillId="11" borderId="2" xfId="0" applyFont="false" applyBorder="true" applyAlignment="true" applyProtection="false">
      <alignment horizontal="general" vertical="bottom" textRotation="0" wrapText="fals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5" fontId="24" fillId="2" borderId="2" xfId="0" applyFont="true" applyBorder="true" applyAlignment="true" applyProtection="false">
      <alignment horizontal="center" vertical="center" textRotation="0" wrapText="true" indent="0" shrinkToFit="false"/>
      <protection locked="true" hidden="false"/>
    </xf>
    <xf numFmtId="165" fontId="25" fillId="12" borderId="2" xfId="0" applyFont="true" applyBorder="true" applyAlignment="true" applyProtection="false">
      <alignment horizontal="center" vertical="center" textRotation="0" wrapText="true" indent="0" shrinkToFit="false"/>
      <protection locked="true" hidden="false"/>
    </xf>
    <xf numFmtId="165" fontId="26" fillId="3" borderId="2" xfId="0" applyFont="true" applyBorder="true" applyAlignment="true" applyProtection="false">
      <alignment horizontal="center" vertical="center" textRotation="0" wrapText="true" indent="0" shrinkToFit="false"/>
      <protection locked="true" hidden="false"/>
    </xf>
    <xf numFmtId="165" fontId="27" fillId="10" borderId="2" xfId="0" applyFont="true" applyBorder="true" applyAlignment="true" applyProtection="false">
      <alignment horizontal="center" vertical="center" textRotation="0" wrapText="true" indent="0" shrinkToFit="false"/>
      <protection locked="true" hidden="false"/>
    </xf>
    <xf numFmtId="166" fontId="28" fillId="11" borderId="2" xfId="0" applyFont="true" applyBorder="true" applyAlignment="true" applyProtection="false">
      <alignment horizontal="center" vertical="center" textRotation="0" wrapText="true" indent="0" shrinkToFit="false"/>
      <protection locked="true" hidden="false"/>
    </xf>
    <xf numFmtId="164" fontId="23" fillId="2" borderId="2" xfId="0" applyFont="true" applyBorder="true" applyAlignment="true" applyProtection="false">
      <alignment horizontal="center" vertical="center" textRotation="0" wrapText="true" indent="0" shrinkToFit="false"/>
      <protection locked="true" hidden="false"/>
    </xf>
    <xf numFmtId="164" fontId="29" fillId="12" borderId="2" xfId="0" applyFont="true" applyBorder="true" applyAlignment="true" applyProtection="false">
      <alignment horizontal="center" vertical="center" textRotation="0" wrapText="true" indent="0" shrinkToFit="false"/>
      <protection locked="true" hidden="false"/>
    </xf>
    <xf numFmtId="164" fontId="30" fillId="3" borderId="2" xfId="0" applyFont="true" applyBorder="true" applyAlignment="true" applyProtection="false">
      <alignment horizontal="center" vertical="center" textRotation="0" wrapText="true" indent="0" shrinkToFit="false"/>
      <protection locked="true" hidden="false"/>
    </xf>
    <xf numFmtId="164" fontId="31" fillId="10" borderId="2" xfId="0" applyFont="true" applyBorder="true" applyAlignment="true" applyProtection="false">
      <alignment horizontal="center" vertical="center" textRotation="0" wrapText="true" indent="0" shrinkToFit="false"/>
      <protection locked="true" hidden="false"/>
    </xf>
    <xf numFmtId="164" fontId="32" fillId="11" borderId="2" xfId="0" applyFont="true" applyBorder="true" applyAlignment="true" applyProtection="false">
      <alignment horizontal="center" vertical="center" textRotation="0" wrapText="true" indent="0" shrinkToFit="false"/>
      <protection locked="true" hidden="false"/>
    </xf>
    <xf numFmtId="164" fontId="9" fillId="7" borderId="4" xfId="0" applyFont="true" applyBorder="true" applyAlignment="true" applyProtection="false">
      <alignment horizontal="left" vertical="center" textRotation="0" wrapText="true" indent="0" shrinkToFit="false"/>
      <protection locked="true" hidden="false"/>
    </xf>
    <xf numFmtId="164" fontId="14" fillId="9" borderId="3" xfId="0" applyFont="true" applyBorder="true" applyAlignment="true" applyProtection="false">
      <alignment horizontal="center" vertical="center" textRotation="0" wrapText="true" indent="0" shrinkToFit="false"/>
      <protection locked="true" hidden="false"/>
    </xf>
    <xf numFmtId="165" fontId="9" fillId="8" borderId="4" xfId="0" applyFont="true" applyBorder="true" applyAlignment="true" applyProtection="false">
      <alignment horizontal="center" vertical="center" textRotation="0" wrapText="true" indent="0" shrinkToFit="false"/>
      <protection locked="true" hidden="false"/>
    </xf>
    <xf numFmtId="164" fontId="13" fillId="9" borderId="3" xfId="0" applyFont="true" applyBorder="true" applyAlignment="true" applyProtection="false">
      <alignment horizontal="center" vertical="center" textRotation="0" wrapText="true" indent="0" shrinkToFit="false"/>
      <protection locked="true" hidden="false"/>
    </xf>
    <xf numFmtId="164" fontId="30" fillId="8" borderId="2" xfId="0" applyFont="true" applyBorder="true" applyAlignment="true" applyProtection="false">
      <alignment horizontal="center" vertical="center" textRotation="0" wrapText="true" indent="0" shrinkToFit="false"/>
      <protection locked="true" hidden="false"/>
    </xf>
    <xf numFmtId="164" fontId="11" fillId="9" borderId="3" xfId="0" applyFont="true" applyBorder="true" applyAlignment="true" applyProtection="false">
      <alignment horizontal="center" vertical="center" textRotation="0" wrapText="true" indent="0" shrinkToFit="false"/>
      <protection locked="true" hidden="false"/>
    </xf>
    <xf numFmtId="164" fontId="33" fillId="10" borderId="0" xfId="0" applyFont="true" applyBorder="true" applyAlignment="true" applyProtection="false">
      <alignment horizontal="left" vertical="center" textRotation="0" wrapText="true" indent="0" shrinkToFit="false"/>
      <protection locked="true" hidden="false"/>
    </xf>
    <xf numFmtId="164" fontId="11" fillId="10" borderId="4" xfId="0" applyFont="true" applyBorder="true" applyAlignment="true" applyProtection="false">
      <alignment horizontal="left" vertical="center" textRotation="0" wrapText="true" indent="0" shrinkToFit="false"/>
      <protection locked="true" hidden="false"/>
    </xf>
    <xf numFmtId="164" fontId="11" fillId="10" borderId="2" xfId="0" applyFont="true" applyBorder="true" applyAlignment="true" applyProtection="false">
      <alignment horizontal="left" vertical="center" textRotation="0" wrapText="true" indent="0" shrinkToFit="false"/>
      <protection locked="true" hidden="false"/>
    </xf>
    <xf numFmtId="164" fontId="34" fillId="10" borderId="4" xfId="0" applyFont="true" applyBorder="true" applyAlignment="true" applyProtection="false">
      <alignment horizontal="left" vertical="center" textRotation="0" wrapText="true" indent="0" shrinkToFit="false"/>
      <protection locked="true" hidden="false"/>
    </xf>
    <xf numFmtId="164" fontId="35" fillId="3" borderId="3" xfId="0" applyFont="true" applyBorder="true" applyAlignment="true" applyProtection="false">
      <alignment horizontal="left" vertical="center" textRotation="0" wrapText="false" indent="0" shrinkToFit="false"/>
      <protection locked="true" hidden="false"/>
    </xf>
    <xf numFmtId="164" fontId="36" fillId="7" borderId="5" xfId="0" applyFont="true" applyBorder="true" applyAlignment="true" applyProtection="false">
      <alignment horizontal="center" vertical="center" textRotation="0" wrapText="true" indent="0" shrinkToFit="false"/>
      <protection locked="true" hidden="false"/>
    </xf>
    <xf numFmtId="165" fontId="37" fillId="2" borderId="5" xfId="0" applyFont="true" applyBorder="true" applyAlignment="true" applyProtection="false">
      <alignment horizontal="center" vertical="center" textRotation="0" wrapText="true" indent="0" shrinkToFit="false"/>
      <protection locked="true" hidden="false"/>
    </xf>
    <xf numFmtId="165" fontId="38" fillId="12" borderId="5" xfId="0" applyFont="true" applyBorder="true" applyAlignment="true" applyProtection="false">
      <alignment horizontal="center" vertical="center" textRotation="0" wrapText="true" indent="0" shrinkToFit="false"/>
      <protection locked="true" hidden="false"/>
    </xf>
    <xf numFmtId="165" fontId="39" fillId="3" borderId="5" xfId="0" applyFont="true" applyBorder="true" applyAlignment="true" applyProtection="false">
      <alignment horizontal="center" vertical="center" textRotation="0" wrapText="true" indent="0" shrinkToFit="false"/>
      <protection locked="true" hidden="false"/>
    </xf>
    <xf numFmtId="165" fontId="40" fillId="10" borderId="5" xfId="0" applyFont="true" applyBorder="true" applyAlignment="true" applyProtection="false">
      <alignment horizontal="center" vertical="center" textRotation="0" wrapText="true" indent="0" shrinkToFit="false"/>
      <protection locked="true" hidden="false"/>
    </xf>
    <xf numFmtId="166" fontId="41" fillId="11" borderId="5" xfId="0" applyFont="true" applyBorder="true" applyAlignment="true" applyProtection="false">
      <alignment horizontal="center" vertical="center" textRotation="0" wrapText="true" indent="0" shrinkToFit="false"/>
      <protection locked="true" hidden="false"/>
    </xf>
    <xf numFmtId="164" fontId="0" fillId="2" borderId="5" xfId="0" applyFont="false" applyBorder="true" applyAlignment="true" applyProtection="false">
      <alignment horizontal="general" vertical="bottom" textRotation="0" wrapText="false" indent="0" shrinkToFit="false"/>
      <protection locked="true" hidden="false"/>
    </xf>
    <xf numFmtId="164" fontId="0" fillId="12" borderId="5" xfId="0" applyFont="false" applyBorder="true" applyAlignment="true" applyProtection="false">
      <alignment horizontal="general" vertical="bottom" textRotation="0" wrapText="false" indent="0" shrinkToFit="false"/>
      <protection locked="true" hidden="false"/>
    </xf>
    <xf numFmtId="164" fontId="0" fillId="3" borderId="5" xfId="0" applyFont="false" applyBorder="true" applyAlignment="true" applyProtection="false">
      <alignment horizontal="general" vertical="bottom" textRotation="0" wrapText="false" indent="0" shrinkToFit="false"/>
      <protection locked="true" hidden="false"/>
    </xf>
    <xf numFmtId="164" fontId="0" fillId="10" borderId="5" xfId="0" applyFont="false" applyBorder="true" applyAlignment="true" applyProtection="false">
      <alignment horizontal="general" vertical="bottom" textRotation="0" wrapText="false" indent="0" shrinkToFit="false"/>
      <protection locked="true" hidden="false"/>
    </xf>
    <xf numFmtId="164" fontId="0" fillId="11" borderId="5" xfId="0" applyFont="false" applyBorder="true" applyAlignment="true" applyProtection="false">
      <alignment horizontal="general" vertical="bottom" textRotation="0" wrapText="false" indent="0" shrinkToFit="false"/>
      <protection locked="true" hidden="false"/>
    </xf>
    <xf numFmtId="165" fontId="14" fillId="8" borderId="2" xfId="0" applyFont="true" applyBorder="true" applyAlignment="true" applyProtection="false">
      <alignment horizontal="center" vertical="center" textRotation="0" wrapText="true" indent="0" shrinkToFit="false"/>
      <protection locked="true" hidden="false"/>
    </xf>
    <xf numFmtId="166" fontId="12" fillId="11" borderId="2" xfId="0" applyFont="true" applyBorder="true" applyAlignment="true" applyProtection="false">
      <alignment horizontal="center" vertical="center" textRotation="0" wrapText="true" indent="0" shrinkToFit="false"/>
      <protection locked="true" hidden="false"/>
    </xf>
    <xf numFmtId="165" fontId="9" fillId="8" borderId="2"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left" vertical="center" textRotation="0" wrapText="true" indent="0" shrinkToFit="false"/>
      <protection locked="true" hidden="false"/>
    </xf>
    <xf numFmtId="164" fontId="14" fillId="12" borderId="2" xfId="0" applyFont="true" applyBorder="true" applyAlignment="true" applyProtection="false">
      <alignment horizontal="left" vertical="center" textRotation="0" wrapText="true" indent="0" shrinkToFit="false"/>
      <protection locked="true" hidden="false"/>
    </xf>
    <xf numFmtId="164" fontId="15" fillId="13" borderId="2" xfId="0" applyFont="true" applyBorder="true" applyAlignment="true" applyProtection="false">
      <alignment horizontal="left" vertical="center" textRotation="0" wrapText="true" indent="0" shrinkToFit="false"/>
      <protection locked="true" hidden="false"/>
    </xf>
    <xf numFmtId="164" fontId="7" fillId="15" borderId="5" xfId="0" applyFont="true" applyBorder="true" applyAlignment="true" applyProtection="false">
      <alignment horizontal="left" vertical="center" textRotation="0" wrapText="true" indent="0" shrinkToFit="false"/>
      <protection locked="true" hidden="false"/>
    </xf>
    <xf numFmtId="164" fontId="11" fillId="10" borderId="5" xfId="0" applyFont="true" applyBorder="true" applyAlignment="true" applyProtection="false">
      <alignment horizontal="left" vertical="center" textRotation="0" wrapText="true" indent="0" shrinkToFit="false"/>
      <protection locked="true" hidden="false"/>
    </xf>
    <xf numFmtId="164" fontId="13" fillId="3" borderId="5" xfId="0" applyFont="true" applyBorder="true" applyAlignment="true" applyProtection="false">
      <alignment horizontal="left" vertical="center" textRotation="0" wrapText="true" indent="0" shrinkToFit="false"/>
      <protection locked="true" hidden="false"/>
    </xf>
    <xf numFmtId="164" fontId="12" fillId="11" borderId="5" xfId="0" applyFont="true" applyBorder="true" applyAlignment="true" applyProtection="false">
      <alignment horizontal="left" vertical="center" textRotation="0" wrapText="true" indent="0" shrinkToFit="false"/>
      <protection locked="true" hidden="false"/>
    </xf>
    <xf numFmtId="164" fontId="16" fillId="4" borderId="5" xfId="0" applyFont="true" applyBorder="true" applyAlignment="true" applyProtection="false">
      <alignment horizontal="left" vertical="center" textRotation="0" wrapText="true" indent="0" shrinkToFit="false"/>
      <protection locked="true" hidden="false"/>
    </xf>
    <xf numFmtId="164" fontId="15" fillId="13" borderId="5" xfId="0" applyFont="true" applyBorder="true" applyAlignment="true" applyProtection="false">
      <alignment horizontal="left" vertical="center" textRotation="0" wrapText="true" indent="0" shrinkToFit="false"/>
      <protection locked="true" hidden="false"/>
    </xf>
    <xf numFmtId="164" fontId="7" fillId="20" borderId="2" xfId="0" applyFont="true" applyBorder="true" applyAlignment="true" applyProtection="false">
      <alignment horizontal="center" vertical="center" textRotation="0" wrapText="true" indent="0" shrinkToFit="false"/>
      <protection locked="true" hidden="false"/>
    </xf>
    <xf numFmtId="164" fontId="42" fillId="12" borderId="2" xfId="0" applyFont="true" applyBorder="true" applyAlignment="true" applyProtection="false">
      <alignment horizontal="left" vertical="center" textRotation="0" wrapText="true" indent="0" shrinkToFit="false"/>
      <protection locked="true" hidden="false"/>
    </xf>
    <xf numFmtId="164" fontId="45" fillId="4" borderId="5" xfId="0" applyFont="true" applyBorder="true" applyAlignment="true" applyProtection="false">
      <alignment horizontal="left" vertical="top" textRotation="0" wrapText="true" indent="0" shrinkToFit="false"/>
      <protection locked="true" hidden="false"/>
    </xf>
    <xf numFmtId="164" fontId="45" fillId="12" borderId="5" xfId="0" applyFont="true" applyBorder="true" applyAlignment="true" applyProtection="false">
      <alignment horizontal="left" vertical="top" textRotation="0" wrapText="true" indent="0" shrinkToFit="false"/>
      <protection locked="true" hidden="false"/>
    </xf>
    <xf numFmtId="164" fontId="45" fillId="3" borderId="5" xfId="0" applyFont="true" applyBorder="true" applyAlignment="true" applyProtection="false">
      <alignment horizontal="left" vertical="top" textRotation="0" wrapText="true" indent="0" shrinkToFit="false"/>
      <protection locked="true" hidden="false"/>
    </xf>
    <xf numFmtId="164" fontId="45" fillId="19" borderId="5" xfId="0" applyFont="true" applyBorder="true" applyAlignment="true" applyProtection="false">
      <alignment horizontal="left" vertical="top" textRotation="0" wrapText="true" indent="0" shrinkToFit="false"/>
      <protection locked="true" hidden="false"/>
    </xf>
    <xf numFmtId="164" fontId="45" fillId="10" borderId="5" xfId="0" applyFont="true" applyBorder="true" applyAlignment="true" applyProtection="false">
      <alignment horizontal="left"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6" fillId="4" borderId="0" xfId="0" applyFont="true" applyBorder="true" applyAlignment="true" applyProtection="false">
      <alignment horizontal="left" vertical="center" textRotation="0" wrapText="true" indent="0" shrinkToFit="false"/>
      <protection locked="true" hidden="false"/>
    </xf>
    <xf numFmtId="166" fontId="47" fillId="3" borderId="2" xfId="0" applyFont="true" applyBorder="true" applyAlignment="true" applyProtection="false">
      <alignment horizontal="center" vertical="center" textRotation="0" wrapText="true" indent="0" shrinkToFit="false"/>
      <protection locked="true" hidden="false"/>
    </xf>
    <xf numFmtId="166" fontId="48" fillId="12" borderId="2" xfId="0" applyFont="true" applyBorder="true" applyAlignment="true" applyProtection="false">
      <alignment horizontal="center" vertical="center" textRotation="0" wrapText="true" indent="0" shrinkToFit="false"/>
      <protection locked="true" hidden="false"/>
    </xf>
    <xf numFmtId="164" fontId="42" fillId="8" borderId="2" xfId="0" applyFont="true" applyBorder="true" applyAlignment="true" applyProtection="false">
      <alignment horizontal="left" vertical="center" textRotation="0" wrapText="true" indent="0" shrinkToFit="false"/>
      <protection locked="true" hidden="false"/>
    </xf>
    <xf numFmtId="166" fontId="34" fillId="10" borderId="2" xfId="0" applyFont="true" applyBorder="true" applyAlignment="true" applyProtection="false">
      <alignment horizontal="center" vertical="center" textRotation="0" wrapText="true" indent="0" shrinkToFit="false"/>
      <protection locked="true" hidden="false"/>
    </xf>
    <xf numFmtId="164" fontId="35" fillId="8" borderId="2" xfId="0" applyFont="true" applyBorder="true" applyAlignment="true" applyProtection="false">
      <alignment horizontal="left" vertical="center" textRotation="0" wrapText="true" indent="0" shrinkToFit="false"/>
      <protection locked="true" hidden="false"/>
    </xf>
    <xf numFmtId="164" fontId="49" fillId="11" borderId="7" xfId="0" applyFont="true" applyBorder="true" applyAlignment="true" applyProtection="false">
      <alignment horizontal="left" vertical="center" textRotation="0" wrapText="true" indent="0" shrinkToFit="false"/>
      <protection locked="true" hidden="false"/>
    </xf>
    <xf numFmtId="164" fontId="14" fillId="12" borderId="5" xfId="0" applyFont="true" applyBorder="true" applyAlignment="true" applyProtection="false">
      <alignment horizontal="left" vertical="center" textRotation="0" wrapText="true" indent="0" shrinkToFit="false"/>
      <protection locked="true" hidden="false"/>
    </xf>
    <xf numFmtId="164" fontId="51" fillId="19" borderId="0" xfId="0" applyFont="true" applyBorder="true" applyAlignment="true" applyProtection="false">
      <alignment horizontal="left" vertical="center" textRotation="0" wrapText="true" indent="0" shrinkToFit="false"/>
      <protection locked="true" hidden="false"/>
    </xf>
    <xf numFmtId="164" fontId="52" fillId="8" borderId="2" xfId="0" applyFont="true" applyBorder="true" applyAlignment="true" applyProtection="false">
      <alignment horizontal="left" vertical="center" textRotation="0" wrapText="true" indent="0" shrinkToFit="false"/>
      <protection locked="true" hidden="false"/>
    </xf>
    <xf numFmtId="164" fontId="22" fillId="19" borderId="2" xfId="0" applyFont="true" applyBorder="true" applyAlignment="true" applyProtection="false">
      <alignment horizontal="center" vertical="center" textRotation="0" wrapText="true" indent="0" shrinkToFit="false"/>
      <protection locked="true" hidden="false"/>
    </xf>
    <xf numFmtId="164" fontId="35" fillId="3" borderId="2" xfId="0" applyFont="true" applyBorder="true" applyAlignment="true" applyProtection="false">
      <alignment horizontal="left" vertical="center" textRotation="0" wrapText="true" indent="0" shrinkToFit="false"/>
      <protection locked="true" hidden="false"/>
    </xf>
    <xf numFmtId="164" fontId="31" fillId="10" borderId="2" xfId="0" applyFont="true" applyBorder="true" applyAlignment="true" applyProtection="false">
      <alignment horizontal="left" vertical="center" textRotation="0" wrapText="true" indent="0" shrinkToFit="false"/>
      <protection locked="true" hidden="false"/>
    </xf>
    <xf numFmtId="164" fontId="53" fillId="12" borderId="0" xfId="0" applyFont="true" applyBorder="true" applyAlignment="true" applyProtection="false">
      <alignment horizontal="left" vertical="center" textRotation="0" wrapText="true" indent="0" shrinkToFit="false"/>
      <protection locked="true" hidden="false"/>
    </xf>
    <xf numFmtId="164" fontId="49" fillId="8" borderId="2" xfId="0" applyFont="true" applyBorder="true" applyAlignment="true" applyProtection="false">
      <alignment horizontal="left" vertical="center" textRotation="0" wrapText="true" indent="0" shrinkToFit="false"/>
      <protection locked="true" hidden="false"/>
    </xf>
    <xf numFmtId="164" fontId="32" fillId="8" borderId="2" xfId="0" applyFont="true" applyBorder="true" applyAlignment="true" applyProtection="false">
      <alignment horizontal="left" vertical="center" textRotation="0" wrapText="true" indent="0" shrinkToFit="false"/>
      <protection locked="true" hidden="false"/>
    </xf>
    <xf numFmtId="164" fontId="54" fillId="11"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9F9F9"/>
      <rgbColor rgb="FFFF00FF"/>
      <rgbColor rgb="FF00FFFF"/>
      <rgbColor rgb="FF800000"/>
      <rgbColor rgb="FF008000"/>
      <rgbColor rgb="FF000080"/>
      <rgbColor rgb="FF808000"/>
      <rgbColor rgb="FF800080"/>
      <rgbColor rgb="FF0D9488"/>
      <rgbColor rgb="FFB3B3B3"/>
      <rgbColor rgb="FF878787"/>
      <rgbColor rgb="FF9999FF"/>
      <rgbColor rgb="FFB45309"/>
      <rgbColor rgb="FFFFF9C4"/>
      <rgbColor rgb="FFCCFBF1"/>
      <rgbColor rgb="FF660066"/>
      <rgbColor rgb="FFFF8080"/>
      <rgbColor rgb="FF1D4ED8"/>
      <rgbColor rgb="FFCBD5E1"/>
      <rgbColor rgb="FF000080"/>
      <rgbColor rgb="FFFF00FF"/>
      <rgbColor rgb="FFF8FAFC"/>
      <rgbColor rgb="FF00FFFF"/>
      <rgbColor rgb="FF800080"/>
      <rgbColor rgb="FF800000"/>
      <rgbColor rgb="FF065F46"/>
      <rgbColor rgb="FF0000FF"/>
      <rgbColor rgb="FF00CCFF"/>
      <rgbColor rgb="FFF0FDF4"/>
      <rgbColor rgb="FFEFF6FF"/>
      <rgbColor rgb="FFFFFBEB"/>
      <rgbColor rgb="FFFEF2F2"/>
      <rgbColor rgb="FFFDF4FF"/>
      <rgbColor rgb="FFFFF7ED"/>
      <rgbColor rgb="FFD9D9D9"/>
      <rgbColor rgb="FF3366FF"/>
      <rgbColor rgb="FF33CCCC"/>
      <rgbColor rgb="FF99CC00"/>
      <rgbColor rgb="FFFFCC00"/>
      <rgbColor rgb="FFFF9900"/>
      <rgbColor rgb="FFD97706"/>
      <rgbColor rgb="FF64748B"/>
      <rgbColor rgb="FF969696"/>
      <rgbColor rgb="FF1E3A5F"/>
      <rgbColor rgb="FF16A34A"/>
      <rgbColor rgb="FF003300"/>
      <rgbColor rgb="FF333300"/>
      <rgbColor rgb="FFC2410C"/>
      <rgbColor rgb="FF7C3AED"/>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Response Rate by Region</a:t>
            </a:r>
          </a:p>
        </c:rich>
      </c:tx>
      <c:overlay val="0"/>
      <c:spPr>
        <a:noFill/>
        <a:ln w="0">
          <a:noFill/>
        </a:ln>
      </c:spPr>
    </c:title>
    <c:autoTitleDeleted val="0"/>
    <c:plotArea>
      <c:barChart>
        <c:barDir val="col"/>
        <c:grouping val="clustered"/>
        <c:varyColors val="0"/>
        <c:ser>
          <c:idx val="0"/>
          <c:order val="0"/>
          <c:tx>
            <c:strRef>
              <c:f>'6. Dashboard'!E9</c:f>
              <c:strCache>
                <c:ptCount val="1"/>
                <c:pt idx="0">
                  <c:v>Rate %</c:v>
                </c:pt>
              </c:strCache>
            </c:strRef>
          </c:tx>
          <c:spPr>
            <a:solidFill>
              <a:srgbClr val="0d9488"/>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Dashboard'!$B$10:$B$14</c:f>
              <c:strCache>
                <c:ptCount val="5"/>
                <c:pt idx="0">
                  <c:v>N. America</c:v>
                </c:pt>
                <c:pt idx="1">
                  <c:v>Europe</c:v>
                </c:pt>
                <c:pt idx="2">
                  <c:v>Asia Pacific</c:v>
                </c:pt>
                <c:pt idx="3">
                  <c:v>India</c:v>
                </c:pt>
                <c:pt idx="4">
                  <c:v>Mexico</c:v>
                </c:pt>
              </c:strCache>
            </c:strRef>
          </c:cat>
          <c:val>
            <c:numRef>
              <c:f>'6. Dashboard'!$E$10:$E$14</c:f>
              <c:numCache>
                <c:formatCode>0%</c:formatCode>
                <c:ptCount val="5"/>
                <c:pt idx="0">
                  <c:v>1</c:v>
                </c:pt>
                <c:pt idx="1">
                  <c:v>0.75</c:v>
                </c:pt>
                <c:pt idx="2">
                  <c:v>0</c:v>
                </c:pt>
                <c:pt idx="3">
                  <c:v>0</c:v>
                </c:pt>
                <c:pt idx="4">
                  <c:v>1</c:v>
                </c:pt>
              </c:numCache>
            </c:numRef>
          </c:val>
        </c:ser>
        <c:gapWidth val="150"/>
        <c:overlap val="0"/>
        <c:axId val="65681216"/>
        <c:axId val="3237566"/>
      </c:barChart>
      <c:catAx>
        <c:axId val="6568121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37566"/>
        <c:crosses val="autoZero"/>
        <c:auto val="1"/>
        <c:lblAlgn val="ctr"/>
        <c:lblOffset val="100"/>
        <c:noMultiLvlLbl val="0"/>
      </c:catAx>
      <c:valAx>
        <c:axId val="323756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6812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Response Rate Trend by Region</a:t>
            </a:r>
          </a:p>
        </c:rich>
      </c:tx>
      <c:overlay val="0"/>
      <c:spPr>
        <a:noFill/>
        <a:ln w="0">
          <a:noFill/>
        </a:ln>
      </c:spPr>
    </c:title>
    <c:autoTitleDeleted val="0"/>
    <c:plotArea>
      <c:lineChart>
        <c:grouping val="standard"/>
        <c:varyColors val="0"/>
        <c:ser>
          <c:idx val="0"/>
          <c:order val="0"/>
          <c:tx>
            <c:strRef>
              <c:f>'8. Trend Analysis'!C5</c:f>
              <c:strCache>
                <c:ptCount val="1"/>
                <c:pt idx="0">
                  <c:v>Q3 2025</c:v>
                </c:pt>
              </c:strCache>
            </c:strRef>
          </c:tx>
          <c:spPr>
            <a:solidFill>
              <a:srgbClr val="1d4ed8"/>
            </a:solidFill>
            <a:ln w="20160">
              <a:solidFill>
                <a:srgbClr val="1d4ed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'8. Trend Analysis'!$C$6:$C$10</c:f>
              <c:numCache>
                <c:formatCode>0%</c:formatCode>
                <c:ptCount val="5"/>
                <c:pt idx="0">
                  <c:v>0.82</c:v>
                </c:pt>
                <c:pt idx="1">
                  <c:v>0.74</c:v>
                </c:pt>
                <c:pt idx="2">
                  <c:v>0.58</c:v>
                </c:pt>
                <c:pt idx="3">
                  <c:v>0.62</c:v>
                </c:pt>
                <c:pt idx="4">
                  <c:v>0.79</c:v>
                </c:pt>
              </c:numCache>
            </c:numRef>
          </c:val>
          <c:smooth val="1"/>
        </c:ser>
        <c:ser>
          <c:idx val="1"/>
          <c:order val="1"/>
          <c:tx>
            <c:strRef>
              <c:f>'8. Trend Analysis'!D5</c:f>
              <c:strCache>
                <c:ptCount val="1"/>
                <c:pt idx="0">
                  <c:v>Q4 2025</c:v>
                </c:pt>
              </c:strCache>
            </c:strRef>
          </c:tx>
          <c:spPr>
            <a:solidFill>
              <a:srgbClr val="065f46"/>
            </a:solidFill>
            <a:ln w="20160">
              <a:solidFill>
                <a:srgbClr val="065f4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'8. Trend Analysis'!$D$6:$D$10</c:f>
              <c:numCache>
                <c:formatCode>0%</c:formatCode>
                <c:ptCount val="5"/>
                <c:pt idx="0">
                  <c:v>0.85</c:v>
                </c:pt>
                <c:pt idx="1">
                  <c:v>0.78</c:v>
                </c:pt>
                <c:pt idx="2">
                  <c:v>0.62</c:v>
                </c:pt>
                <c:pt idx="3">
                  <c:v>0.65</c:v>
                </c:pt>
                <c:pt idx="4">
                  <c:v>0.81</c:v>
                </c:pt>
              </c:numCache>
            </c:numRef>
          </c:val>
          <c:smooth val="1"/>
        </c:ser>
        <c:ser>
          <c:idx val="2"/>
          <c:order val="2"/>
          <c:tx>
            <c:strRef>
              <c:f>'8. Trend Analysis'!E5</c:f>
              <c:strCache>
                <c:ptCount val="1"/>
                <c:pt idx="0">
                  <c:v>Q1 2026</c:v>
                </c:pt>
              </c:strCache>
            </c:strRef>
          </c:tx>
          <c:spPr>
            <a:solidFill>
              <a:srgbClr val="dc2626"/>
            </a:solidFill>
            <a:ln w="20160">
              <a:solidFill>
                <a:srgbClr val="dc262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'8. Trend Analysis'!$E$6:$E$10</c:f>
              <c:numCache>
                <c:formatCode>0%</c:formatCode>
                <c:ptCount val="5"/>
                <c:pt idx="0">
                  <c:v>0.87</c:v>
                </c:pt>
                <c:pt idx="1">
                  <c:v>0.8</c:v>
                </c:pt>
                <c:pt idx="2">
                  <c:v>0.68</c:v>
                </c:pt>
                <c:pt idx="3">
                  <c:v>0.7</c:v>
                </c:pt>
                <c:pt idx="4">
                  <c:v>0.83</c:v>
                </c:pt>
              </c:numCache>
            </c:numRef>
          </c:val>
          <c:smooth val="1"/>
        </c:ser>
        <c:ser>
          <c:idx val="3"/>
          <c:order val="3"/>
          <c:tx>
            <c:strRef>
              <c:f>'8. Trend Analysis'!F5</c:f>
              <c:strCache>
                <c:ptCount val="1"/>
                <c:pt idx="0">
                  <c:v>Q2 2026</c:v>
                </c:pt>
              </c:strCache>
            </c:strRef>
          </c:tx>
          <c:spPr>
            <a:solidFill>
              <a:srgbClr val="d97706"/>
            </a:solidFill>
            <a:ln w="20160">
              <a:solidFill>
                <a:srgbClr val="d9770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'8. Trend Analysis'!$F$6:$F$10</c:f>
              <c:numCache>
                <c:formatCode>0%</c:formatCode>
                <c:ptCount val="5"/>
                <c:pt idx="0">
                  <c:v>0.89</c:v>
                </c:pt>
                <c:pt idx="1">
                  <c:v>0.82</c:v>
                </c:pt>
                <c:pt idx="2">
                  <c:v>0.71</c:v>
                </c:pt>
                <c:pt idx="3">
                  <c:v>0.74</c:v>
                </c:pt>
                <c:pt idx="4">
                  <c:v>0.85</c:v>
                </c:pt>
              </c:numCache>
            </c:numRef>
          </c:val>
          <c:smooth val="1"/>
        </c:ser>
        <c:hiLowLines>
          <c:spPr>
            <a:ln w="0">
              <a:noFill/>
            </a:ln>
          </c:spPr>
        </c:hiLowLines>
        <c:marker val="0"/>
        <c:axId val="51571711"/>
        <c:axId val="6727185"/>
      </c:lineChart>
      <c:catAx>
        <c:axId val="5157171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Quarter</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727185"/>
        <c:crosses val="autoZero"/>
        <c:auto val="1"/>
        <c:lblAlgn val="ctr"/>
        <c:lblOffset val="100"/>
        <c:noMultiLvlLbl val="0"/>
      </c:catAx>
      <c:valAx>
        <c:axId val="6727185"/>
        <c:scaling>
          <c:orientation val="minMax"/>
          <c:max val="1"/>
          <c:min val="0.5"/>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Response Rate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157171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11</xdr:col>
      <xdr:colOff>457560</xdr:colOff>
      <xdr:row>19</xdr:row>
      <xdr:rowOff>275040</xdr:rowOff>
    </xdr:to>
    <xdr:graphicFrame>
      <xdr:nvGraphicFramePr>
        <xdr:cNvPr id="0" name="Chart 1"/>
        <xdr:cNvGraphicFramePr/>
      </xdr:nvGraphicFramePr>
      <xdr:xfrm>
        <a:off x="4722480" y="1619280"/>
        <a:ext cx="5039280" cy="35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0</xdr:rowOff>
    </xdr:from>
    <xdr:to>
      <xdr:col>7</xdr:col>
      <xdr:colOff>488520</xdr:colOff>
      <xdr:row>44</xdr:row>
      <xdr:rowOff>170640</xdr:rowOff>
    </xdr:to>
    <xdr:graphicFrame>
      <xdr:nvGraphicFramePr>
        <xdr:cNvPr id="1" name="Chart 1"/>
        <xdr:cNvGraphicFramePr/>
      </xdr:nvGraphicFramePr>
      <xdr:xfrm>
        <a:off x="141120" y="852480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13"/>
    <col collapsed="false" customWidth="true" hidden="false" outlineLevel="0" max="10" min="4" style="1" width="10"/>
    <col collapsed="false" customWidth="true" hidden="false" outlineLevel="0" max="11" min="11" style="1" width="12"/>
    <col collapsed="false" customWidth="true" hidden="false" outlineLevel="0" max="12" min="12" style="1" width="14"/>
    <col collapsed="false" customWidth="true" hidden="false" outlineLevel="0" max="13" min="13" style="1" width="16"/>
    <col collapsed="false" customWidth="true" hidden="false" outlineLevel="0" max="14" min="14" style="1" width="2"/>
  </cols>
  <sheetData>
    <row r="1" customFormat="false" ht="31.5" hidden="false" customHeight="true" outlineLevel="0" collapsed="false">
      <c r="A1" s="2"/>
      <c r="B1" s="3" t="s">
        <v>0</v>
      </c>
      <c r="C1" s="3"/>
      <c r="D1" s="3"/>
      <c r="E1" s="3"/>
      <c r="F1" s="3"/>
      <c r="G1" s="3"/>
      <c r="H1" s="3"/>
      <c r="I1" s="3"/>
      <c r="J1" s="3"/>
      <c r="K1" s="3"/>
      <c r="L1" s="3"/>
      <c r="M1" s="3"/>
    </row>
    <row r="2" customFormat="false" ht="15.75" hidden="false" customHeight="true" outlineLevel="0" collapsed="false">
      <c r="B2" s="4" t="s">
        <v>1</v>
      </c>
      <c r="C2" s="4"/>
      <c r="D2" s="4"/>
      <c r="E2" s="4"/>
      <c r="F2" s="4"/>
      <c r="G2" s="4"/>
      <c r="H2" s="4"/>
      <c r="I2" s="4"/>
      <c r="J2" s="4"/>
      <c r="K2" s="4"/>
      <c r="L2" s="4"/>
      <c r="M2" s="4"/>
      <c r="N2" s="4"/>
    </row>
    <row r="3" customFormat="false" ht="6" hidden="false" customHeight="true" outlineLevel="0" collapsed="false"/>
    <row r="4" customFormat="false" ht="19.5" hidden="false" customHeight="true" outlineLevel="0" collapsed="false">
      <c r="B4" s="5" t="s">
        <v>2</v>
      </c>
      <c r="C4" s="5"/>
      <c r="D4" s="5"/>
      <c r="E4" s="5"/>
      <c r="F4" s="5"/>
      <c r="G4" s="5"/>
      <c r="H4" s="5"/>
      <c r="I4" s="5"/>
      <c r="J4" s="5"/>
      <c r="K4" s="5"/>
      <c r="L4" s="5"/>
      <c r="M4" s="5"/>
    </row>
    <row r="5" customFormat="false" ht="39.75" hidden="false" customHeight="true" outlineLevel="0" collapsed="false">
      <c r="B5" s="6" t="s">
        <v>3</v>
      </c>
      <c r="C5" s="7" t="s">
        <v>4</v>
      </c>
      <c r="D5" s="7" t="s">
        <v>5</v>
      </c>
      <c r="E5" s="8" t="s">
        <v>6</v>
      </c>
      <c r="F5" s="8" t="s">
        <v>7</v>
      </c>
      <c r="G5" s="6" t="s">
        <v>8</v>
      </c>
      <c r="H5" s="8" t="s">
        <v>9</v>
      </c>
      <c r="I5" s="8" t="s">
        <v>10</v>
      </c>
      <c r="J5" s="8" t="s">
        <v>11</v>
      </c>
      <c r="K5" s="8" t="s">
        <v>12</v>
      </c>
      <c r="L5" s="6" t="s">
        <v>13</v>
      </c>
      <c r="M5" s="6" t="s">
        <v>14</v>
      </c>
      <c r="N5" s="6" t="s">
        <v>15</v>
      </c>
    </row>
    <row r="6" customFormat="false" ht="24" hidden="false" customHeight="true" outlineLevel="0" collapsed="false">
      <c r="B6" s="9"/>
      <c r="C6" s="9"/>
      <c r="D6" s="9"/>
      <c r="E6" s="9" t="s">
        <v>16</v>
      </c>
      <c r="F6" s="9" t="s">
        <v>17</v>
      </c>
      <c r="G6" s="9" t="s">
        <v>18</v>
      </c>
      <c r="H6" s="9" t="s">
        <v>19</v>
      </c>
      <c r="I6" s="9" t="s">
        <v>20</v>
      </c>
      <c r="J6" s="9" t="s">
        <v>19</v>
      </c>
      <c r="K6" s="9" t="s">
        <v>21</v>
      </c>
      <c r="L6" s="9" t="s">
        <v>22</v>
      </c>
      <c r="M6" s="9" t="s">
        <v>23</v>
      </c>
      <c r="N6" s="9" t="s">
        <v>23</v>
      </c>
    </row>
    <row r="7" customFormat="false" ht="25.5" hidden="false" customHeight="true" outlineLevel="0" collapsed="false">
      <c r="B7" s="10" t="s">
        <v>24</v>
      </c>
      <c r="C7" s="11" t="s">
        <v>25</v>
      </c>
      <c r="D7" s="11" t="s">
        <v>26</v>
      </c>
      <c r="E7" s="12" t="n">
        <v>12</v>
      </c>
      <c r="F7" s="12" t="n">
        <v>2</v>
      </c>
      <c r="G7" s="13" t="n">
        <f aca="false">E7-F7</f>
        <v>10</v>
      </c>
      <c r="H7" s="12" t="s">
        <v>27</v>
      </c>
      <c r="I7" s="14" t="n">
        <v>8500</v>
      </c>
      <c r="J7" s="12" t="s">
        <v>28</v>
      </c>
      <c r="K7" s="12" t="n">
        <v>5</v>
      </c>
      <c r="L7" s="15" t="n">
        <f aca="false">ROUND((MIN(MAX(G7,0),20)/20*35)+(IF(H7="Yes",25,0))+(MIN(I7,10000)/10000*20)+(IF(J7="Yes",10,0))+((6-MIN(K7,5))/5*10),1)</f>
        <v>61.5</v>
      </c>
      <c r="M7" s="16" t="str">
        <f aca="false">IF(J7="Yes","Watch List",IF(OR(H7="Yes",L7&gt;=60),"Critical / P1",IF(L7&gt;=40,"Strategic / P2",IF(L7&gt;=20,"Preferred / P3","Approved / P4"))))</f>
        <v>Critical / P1</v>
      </c>
      <c r="N7" s="16" t="str">
        <f aca="false">IF(M7="Critical / P1","7 days",IF(M7="Strategic / P2","14 days",IF(M7="Preferred / P3","21 days",IF(M7="Watch List","Immediate","30 days"))))</f>
        <v>7 days</v>
      </c>
    </row>
    <row r="8" customFormat="false" ht="25.5" hidden="false" customHeight="true" outlineLevel="0" collapsed="false">
      <c r="B8" s="10" t="s">
        <v>29</v>
      </c>
      <c r="C8" s="11" t="s">
        <v>30</v>
      </c>
      <c r="D8" s="11" t="s">
        <v>26</v>
      </c>
      <c r="E8" s="12" t="n">
        <v>16</v>
      </c>
      <c r="F8" s="12" t="n">
        <v>2</v>
      </c>
      <c r="G8" s="13" t="n">
        <f aca="false">E8-F8</f>
        <v>14</v>
      </c>
      <c r="H8" s="12" t="s">
        <v>27</v>
      </c>
      <c r="I8" s="14" t="n">
        <v>6200</v>
      </c>
      <c r="J8" s="12" t="s">
        <v>28</v>
      </c>
      <c r="K8" s="12" t="n">
        <v>5</v>
      </c>
      <c r="L8" s="15" t="n">
        <f aca="false">ROUND((MIN(MAX(G8,0),20)/20*35)+(IF(H8="Yes",25,0))+(MIN(I8,10000)/10000*20)+(IF(J8="Yes",10,0))+((6-MIN(K8,5))/5*10),1)</f>
        <v>63.9</v>
      </c>
      <c r="M8" s="16" t="str">
        <f aca="false">IF(J8="Yes","Watch List",IF(OR(H8="Yes",L8&gt;=60),"Critical / P1",IF(L8&gt;=40,"Strategic / P2",IF(L8&gt;=20,"Preferred / P3","Approved / P4"))))</f>
        <v>Critical / P1</v>
      </c>
      <c r="N8" s="16" t="str">
        <f aca="false">IF(M8="Critical / P1","7 days",IF(M8="Strategic / P2","14 days",IF(M8="Preferred / P3","21 days",IF(M8="Watch List","Immediate","30 days"))))</f>
        <v>7 days</v>
      </c>
    </row>
    <row r="9" customFormat="false" ht="25.5" hidden="false" customHeight="true" outlineLevel="0" collapsed="false">
      <c r="B9" s="10" t="s">
        <v>31</v>
      </c>
      <c r="C9" s="11" t="s">
        <v>30</v>
      </c>
      <c r="D9" s="11" t="s">
        <v>26</v>
      </c>
      <c r="E9" s="12" t="n">
        <v>14</v>
      </c>
      <c r="F9" s="12" t="n">
        <v>2</v>
      </c>
      <c r="G9" s="13" t="n">
        <f aca="false">E9-F9</f>
        <v>12</v>
      </c>
      <c r="H9" s="12" t="s">
        <v>27</v>
      </c>
      <c r="I9" s="14" t="n">
        <v>4800</v>
      </c>
      <c r="J9" s="12" t="s">
        <v>28</v>
      </c>
      <c r="K9" s="12" t="n">
        <v>5</v>
      </c>
      <c r="L9" s="15" t="n">
        <f aca="false">ROUND((MIN(MAX(G9,0),20)/20*35)+(IF(H9="Yes",25,0))+(MIN(I9,10000)/10000*20)+(IF(J9="Yes",10,0))+((6-MIN(K9,5))/5*10),1)</f>
        <v>57.6</v>
      </c>
      <c r="M9" s="16" t="str">
        <f aca="false">IF(J9="Yes","Watch List",IF(OR(H9="Yes",L9&gt;=60),"Critical / P1",IF(L9&gt;=40,"Strategic / P2",IF(L9&gt;=20,"Preferred / P3","Approved / P4"))))</f>
        <v>Critical / P1</v>
      </c>
      <c r="N9" s="16" t="str">
        <f aca="false">IF(M9="Critical / P1","7 days",IF(M9="Strategic / P2","14 days",IF(M9="Preferred / P3","21 days",IF(M9="Watch List","Immediate","30 days"))))</f>
        <v>7 days</v>
      </c>
    </row>
    <row r="10" customFormat="false" ht="25.5" hidden="false" customHeight="true" outlineLevel="0" collapsed="false">
      <c r="B10" s="10" t="s">
        <v>32</v>
      </c>
      <c r="C10" s="11" t="s">
        <v>30</v>
      </c>
      <c r="D10" s="11" t="s">
        <v>26</v>
      </c>
      <c r="E10" s="12" t="n">
        <v>6</v>
      </c>
      <c r="F10" s="12" t="n">
        <v>4</v>
      </c>
      <c r="G10" s="17" t="n">
        <f aca="false">E10-F10</f>
        <v>2</v>
      </c>
      <c r="H10" s="12" t="s">
        <v>28</v>
      </c>
      <c r="I10" s="14" t="n">
        <v>4200</v>
      </c>
      <c r="J10" s="12" t="s">
        <v>28</v>
      </c>
      <c r="K10" s="12" t="n">
        <v>4</v>
      </c>
      <c r="L10" s="15" t="n">
        <f aca="false">ROUND((MIN(MAX(G10,0),20)/20*35)+(IF(H10="Yes",25,0))+(MIN(I10,10000)/10000*20)+(IF(J10="Yes",10,0))+((6-MIN(K10,5))/5*10),1)</f>
        <v>15.9</v>
      </c>
      <c r="M10" s="18" t="str">
        <f aca="false">IF(J10="Yes","Watch List",IF(OR(H10="Yes",L10&gt;=60),"Critical / P1",IF(L10&gt;=40,"Strategic / P2",IF(L10&gt;=20,"Preferred / P3","Approved / P4"))))</f>
        <v>Approved / P4</v>
      </c>
      <c r="N10" s="18" t="str">
        <f aca="false">IF(M10="Critical / P1","7 days",IF(M10="Strategic / P2","14 days",IF(M10="Preferred / P3","21 days",IF(M10="Watch List","Immediate","30 days"))))</f>
        <v>30 days</v>
      </c>
    </row>
    <row r="11" customFormat="false" ht="25.5" hidden="false" customHeight="true" outlineLevel="0" collapsed="false">
      <c r="B11" s="10" t="s">
        <v>33</v>
      </c>
      <c r="C11" s="11" t="s">
        <v>25</v>
      </c>
      <c r="D11" s="11" t="s">
        <v>26</v>
      </c>
      <c r="E11" s="12" t="n">
        <v>8</v>
      </c>
      <c r="F11" s="12" t="n">
        <v>4</v>
      </c>
      <c r="G11" s="17" t="n">
        <f aca="false">E11-F11</f>
        <v>4</v>
      </c>
      <c r="H11" s="12" t="s">
        <v>28</v>
      </c>
      <c r="I11" s="14" t="n">
        <v>3900</v>
      </c>
      <c r="J11" s="12" t="s">
        <v>28</v>
      </c>
      <c r="K11" s="12" t="n">
        <v>4</v>
      </c>
      <c r="L11" s="15" t="n">
        <f aca="false">ROUND((MIN(MAX(G11,0),20)/20*35)+(IF(H11="Yes",25,0))+(MIN(I11,10000)/10000*20)+(IF(J11="Yes",10,0))+((6-MIN(K11,5))/5*10),1)</f>
        <v>18.8</v>
      </c>
      <c r="M11" s="18" t="str">
        <f aca="false">IF(J11="Yes","Watch List",IF(OR(H11="Yes",L11&gt;=60),"Critical / P1",IF(L11&gt;=40,"Strategic / P2",IF(L11&gt;=20,"Preferred / P3","Approved / P4"))))</f>
        <v>Approved / P4</v>
      </c>
      <c r="N11" s="18" t="str">
        <f aca="false">IF(M11="Critical / P1","7 days",IF(M11="Strategic / P2","14 days",IF(M11="Preferred / P3","21 days",IF(M11="Watch List","Immediate","30 days"))))</f>
        <v>30 days</v>
      </c>
    </row>
    <row r="12" customFormat="false" ht="25.5" hidden="false" customHeight="true" outlineLevel="0" collapsed="false">
      <c r="B12" s="10" t="s">
        <v>34</v>
      </c>
      <c r="C12" s="11" t="s">
        <v>25</v>
      </c>
      <c r="D12" s="11" t="s">
        <v>26</v>
      </c>
      <c r="E12" s="12" t="n">
        <v>6</v>
      </c>
      <c r="F12" s="12" t="n">
        <v>4</v>
      </c>
      <c r="G12" s="17" t="n">
        <f aca="false">E12-F12</f>
        <v>2</v>
      </c>
      <c r="H12" s="12" t="s">
        <v>28</v>
      </c>
      <c r="I12" s="14" t="n">
        <v>3100</v>
      </c>
      <c r="J12" s="12" t="s">
        <v>28</v>
      </c>
      <c r="K12" s="12" t="n">
        <v>4</v>
      </c>
      <c r="L12" s="15" t="n">
        <f aca="false">ROUND((MIN(MAX(G12,0),20)/20*35)+(IF(H12="Yes",25,0))+(MIN(I12,10000)/10000*20)+(IF(J12="Yes",10,0))+((6-MIN(K12,5))/5*10),1)</f>
        <v>13.7</v>
      </c>
      <c r="M12" s="18" t="str">
        <f aca="false">IF(J12="Yes","Watch List",IF(OR(H12="Yes",L12&gt;=60),"Critical / P1",IF(L12&gt;=40,"Strategic / P2",IF(L12&gt;=20,"Preferred / P3","Approved / P4"))))</f>
        <v>Approved / P4</v>
      </c>
      <c r="N12" s="18" t="str">
        <f aca="false">IF(M12="Critical / P1","7 days",IF(M12="Strategic / P2","14 days",IF(M12="Preferred / P3","21 days",IF(M12="Watch List","Immediate","30 days"))))</f>
        <v>30 days</v>
      </c>
    </row>
    <row r="13" customFormat="false" ht="25.5" hidden="false" customHeight="true" outlineLevel="0" collapsed="false">
      <c r="B13" s="10" t="s">
        <v>35</v>
      </c>
      <c r="C13" s="11" t="s">
        <v>30</v>
      </c>
      <c r="D13" s="11" t="s">
        <v>26</v>
      </c>
      <c r="E13" s="12" t="n">
        <v>4</v>
      </c>
      <c r="F13" s="12" t="n">
        <v>4</v>
      </c>
      <c r="G13" s="19" t="n">
        <f aca="false">E13-F13</f>
        <v>0</v>
      </c>
      <c r="H13" s="12" t="s">
        <v>28</v>
      </c>
      <c r="I13" s="14" t="n">
        <v>2800</v>
      </c>
      <c r="J13" s="12" t="s">
        <v>28</v>
      </c>
      <c r="K13" s="12" t="n">
        <v>5</v>
      </c>
      <c r="L13" s="15" t="n">
        <f aca="false">ROUND((MIN(MAX(G13,0),20)/20*35)+(IF(H13="Yes",25,0))+(MIN(I13,10000)/10000*20)+(IF(J13="Yes",10,0))+((6-MIN(K13,5))/5*10),1)</f>
        <v>7.6</v>
      </c>
      <c r="M13" s="18" t="str">
        <f aca="false">IF(J13="Yes","Watch List",IF(OR(H13="Yes",L13&gt;=60),"Critical / P1",IF(L13&gt;=40,"Strategic / P2",IF(L13&gt;=20,"Preferred / P3","Approved / P4"))))</f>
        <v>Approved / P4</v>
      </c>
      <c r="N13" s="18" t="str">
        <f aca="false">IF(M13="Critical / P1","7 days",IF(M13="Strategic / P2","14 days",IF(M13="Preferred / P3","21 days",IF(M13="Watch List","Immediate","30 days"))))</f>
        <v>30 days</v>
      </c>
    </row>
    <row r="14" customFormat="false" ht="25.5" hidden="false" customHeight="true" outlineLevel="0" collapsed="false">
      <c r="B14" s="10" t="s">
        <v>36</v>
      </c>
      <c r="C14" s="11" t="s">
        <v>37</v>
      </c>
      <c r="D14" s="11" t="s">
        <v>26</v>
      </c>
      <c r="E14" s="12" t="n">
        <v>6</v>
      </c>
      <c r="F14" s="12" t="n">
        <v>4</v>
      </c>
      <c r="G14" s="17" t="n">
        <f aca="false">E14-F14</f>
        <v>2</v>
      </c>
      <c r="H14" s="12" t="s">
        <v>28</v>
      </c>
      <c r="I14" s="14" t="n">
        <v>2200</v>
      </c>
      <c r="J14" s="12" t="s">
        <v>28</v>
      </c>
      <c r="K14" s="12" t="n">
        <v>4</v>
      </c>
      <c r="L14" s="15" t="n">
        <f aca="false">ROUND((MIN(MAX(G14,0),20)/20*35)+(IF(H14="Yes",25,0))+(MIN(I14,10000)/10000*20)+(IF(J14="Yes",10,0))+((6-MIN(K14,5))/5*10),1)</f>
        <v>11.9</v>
      </c>
      <c r="M14" s="18" t="str">
        <f aca="false">IF(J14="Yes","Watch List",IF(OR(H14="Yes",L14&gt;=60),"Critical / P1",IF(L14&gt;=40,"Strategic / P2",IF(L14&gt;=20,"Preferred / P3","Approved / P4"))))</f>
        <v>Approved / P4</v>
      </c>
      <c r="N14" s="18" t="str">
        <f aca="false">IF(M14="Critical / P1","7 days",IF(M14="Strategic / P2","14 days",IF(M14="Preferred / P3","21 days",IF(M14="Watch List","Immediate","30 days"))))</f>
        <v>30 days</v>
      </c>
    </row>
    <row r="15" customFormat="false" ht="25.5" hidden="false" customHeight="true" outlineLevel="0" collapsed="false">
      <c r="B15" s="10" t="s">
        <v>38</v>
      </c>
      <c r="C15" s="11" t="s">
        <v>39</v>
      </c>
      <c r="D15" s="11" t="s">
        <v>26</v>
      </c>
      <c r="E15" s="12" t="n">
        <v>8</v>
      </c>
      <c r="F15" s="12" t="n">
        <v>3</v>
      </c>
      <c r="G15" s="13" t="n">
        <f aca="false">E15-F15</f>
        <v>5</v>
      </c>
      <c r="H15" s="12" t="s">
        <v>28</v>
      </c>
      <c r="I15" s="14" t="n">
        <v>1900</v>
      </c>
      <c r="J15" s="12" t="s">
        <v>28</v>
      </c>
      <c r="K15" s="12" t="n">
        <v>3</v>
      </c>
      <c r="L15" s="15" t="n">
        <f aca="false">ROUND((MIN(MAX(G15,0),20)/20*35)+(IF(H15="Yes",25,0))+(MIN(I15,10000)/10000*20)+(IF(J15="Yes",10,0))+((6-MIN(K15,5))/5*10),1)</f>
        <v>18.6</v>
      </c>
      <c r="M15" s="18" t="str">
        <f aca="false">IF(J15="Yes","Watch List",IF(OR(H15="Yes",L15&gt;=60),"Critical / P1",IF(L15&gt;=40,"Strategic / P2",IF(L15&gt;=20,"Preferred / P3","Approved / P4"))))</f>
        <v>Approved / P4</v>
      </c>
      <c r="N15" s="18" t="str">
        <f aca="false">IF(M15="Critical / P1","7 days",IF(M15="Strategic / P2","14 days",IF(M15="Preferred / P3","21 days",IF(M15="Watch List","Immediate","30 days"))))</f>
        <v>30 days</v>
      </c>
    </row>
    <row r="16" customFormat="false" ht="25.5" hidden="false" customHeight="true" outlineLevel="0" collapsed="false">
      <c r="B16" s="10" t="s">
        <v>40</v>
      </c>
      <c r="C16" s="11" t="s">
        <v>30</v>
      </c>
      <c r="D16" s="11" t="s">
        <v>26</v>
      </c>
      <c r="E16" s="12" t="n">
        <v>4</v>
      </c>
      <c r="F16" s="12" t="n">
        <v>4</v>
      </c>
      <c r="G16" s="19" t="n">
        <f aca="false">E16-F16</f>
        <v>0</v>
      </c>
      <c r="H16" s="12" t="s">
        <v>28</v>
      </c>
      <c r="I16" s="14" t="n">
        <v>1400</v>
      </c>
      <c r="J16" s="12" t="s">
        <v>28</v>
      </c>
      <c r="K16" s="12" t="n">
        <v>4</v>
      </c>
      <c r="L16" s="15" t="n">
        <f aca="false">ROUND((MIN(MAX(G16,0),20)/20*35)+(IF(H16="Yes",25,0))+(MIN(I16,10000)/10000*20)+(IF(J16="Yes",10,0))+((6-MIN(K16,5))/5*10),1)</f>
        <v>6.8</v>
      </c>
      <c r="M16" s="18" t="str">
        <f aca="false">IF(J16="Yes","Watch List",IF(OR(H16="Yes",L16&gt;=60),"Critical / P1",IF(L16&gt;=40,"Strategic / P2",IF(L16&gt;=20,"Preferred / P3","Approved / P4"))))</f>
        <v>Approved / P4</v>
      </c>
      <c r="N16" s="18" t="str">
        <f aca="false">IF(M16="Critical / P1","7 days",IF(M16="Strategic / P2","14 days",IF(M16="Preferred / P3","21 days",IF(M16="Watch List","Immediate","30 days"))))</f>
        <v>30 days</v>
      </c>
    </row>
    <row r="17" customFormat="false" ht="25.5" hidden="false" customHeight="true" outlineLevel="0" collapsed="false">
      <c r="B17" s="10" t="s">
        <v>41</v>
      </c>
      <c r="C17" s="11" t="s">
        <v>39</v>
      </c>
      <c r="D17" s="11" t="s">
        <v>42</v>
      </c>
      <c r="E17" s="12" t="n">
        <v>10</v>
      </c>
      <c r="F17" s="12" t="n">
        <v>3</v>
      </c>
      <c r="G17" s="13" t="n">
        <f aca="false">E17-F17</f>
        <v>7</v>
      </c>
      <c r="H17" s="12" t="s">
        <v>28</v>
      </c>
      <c r="I17" s="14" t="n">
        <v>850</v>
      </c>
      <c r="J17" s="12" t="s">
        <v>28</v>
      </c>
      <c r="K17" s="12" t="n">
        <v>3</v>
      </c>
      <c r="L17" s="15" t="n">
        <f aca="false">ROUND((MIN(MAX(G17,0),20)/20*35)+(IF(H17="Yes",25,0))+(MIN(I17,10000)/10000*20)+(IF(J17="Yes",10,0))+((6-MIN(K17,5))/5*10),1)</f>
        <v>20</v>
      </c>
      <c r="M17" s="18" t="str">
        <f aca="false">IF(J17="Yes","Watch List",IF(OR(H17="Yes",L17&gt;=60),"Critical / P1",IF(L17&gt;=40,"Strategic / P2",IF(L17&gt;=20,"Preferred / P3","Approved / P4"))))</f>
        <v>Preferred / P3</v>
      </c>
      <c r="N17" s="18" t="str">
        <f aca="false">IF(M17="Critical / P1","7 days",IF(M17="Strategic / P2","14 days",IF(M17="Preferred / P3","21 days",IF(M17="Watch List","Immediate","30 days"))))</f>
        <v>21 days</v>
      </c>
    </row>
    <row r="18" customFormat="false" ht="25.5" hidden="false" customHeight="true" outlineLevel="0" collapsed="false">
      <c r="B18" s="10" t="s">
        <v>43</v>
      </c>
      <c r="C18" s="11" t="s">
        <v>39</v>
      </c>
      <c r="D18" s="11" t="s">
        <v>42</v>
      </c>
      <c r="E18" s="12" t="n">
        <v>8</v>
      </c>
      <c r="F18" s="12" t="n">
        <v>3</v>
      </c>
      <c r="G18" s="13" t="n">
        <f aca="false">E18-F18</f>
        <v>5</v>
      </c>
      <c r="H18" s="12" t="s">
        <v>28</v>
      </c>
      <c r="I18" s="14" t="n">
        <v>620</v>
      </c>
      <c r="J18" s="12" t="s">
        <v>28</v>
      </c>
      <c r="K18" s="12" t="n">
        <v>3</v>
      </c>
      <c r="L18" s="15" t="n">
        <f aca="false">ROUND((MIN(MAX(G18,0),20)/20*35)+(IF(H18="Yes",25,0))+(MIN(I18,10000)/10000*20)+(IF(J18="Yes",10,0))+((6-MIN(K18,5))/5*10),1)</f>
        <v>16</v>
      </c>
      <c r="M18" s="18" t="str">
        <f aca="false">IF(J18="Yes","Watch List",IF(OR(H18="Yes",L18&gt;=60),"Critical / P1",IF(L18&gt;=40,"Strategic / P2",IF(L18&gt;=20,"Preferred / P3","Approved / P4"))))</f>
        <v>Approved / P4</v>
      </c>
      <c r="N18" s="18" t="str">
        <f aca="false">IF(M18="Critical / P1","7 days",IF(M18="Strategic / P2","14 days",IF(M18="Preferred / P3","21 days",IF(M18="Watch List","Immediate","30 days"))))</f>
        <v>30 days</v>
      </c>
    </row>
    <row r="19" customFormat="false" ht="25.5" hidden="false" customHeight="true" outlineLevel="0" collapsed="false">
      <c r="B19" s="10" t="s">
        <v>44</v>
      </c>
      <c r="C19" s="11" t="s">
        <v>25</v>
      </c>
      <c r="D19" s="11" t="s">
        <v>42</v>
      </c>
      <c r="E19" s="12" t="n">
        <v>6</v>
      </c>
      <c r="F19" s="12" t="n">
        <v>4</v>
      </c>
      <c r="G19" s="17" t="n">
        <f aca="false">E19-F19</f>
        <v>2</v>
      </c>
      <c r="H19" s="12" t="s">
        <v>28</v>
      </c>
      <c r="I19" s="14" t="n">
        <v>480</v>
      </c>
      <c r="J19" s="12" t="s">
        <v>28</v>
      </c>
      <c r="K19" s="12" t="n">
        <v>4</v>
      </c>
      <c r="L19" s="15" t="n">
        <f aca="false">ROUND((MIN(MAX(G19,0),20)/20*35)+(IF(H19="Yes",25,0))+(MIN(I19,10000)/10000*20)+(IF(J19="Yes",10,0))+((6-MIN(K19,5))/5*10),1)</f>
        <v>8.5</v>
      </c>
      <c r="M19" s="18" t="str">
        <f aca="false">IF(J19="Yes","Watch List",IF(OR(H19="Yes",L19&gt;=60),"Critical / P1",IF(L19&gt;=40,"Strategic / P2",IF(L19&gt;=20,"Preferred / P3","Approved / P4"))))</f>
        <v>Approved / P4</v>
      </c>
      <c r="N19" s="18" t="str">
        <f aca="false">IF(M19="Critical / P1","7 days",IF(M19="Strategic / P2","14 days",IF(M19="Preferred / P3","21 days",IF(M19="Watch List","Immediate","30 days"))))</f>
        <v>30 days</v>
      </c>
    </row>
    <row r="20" customFormat="false" ht="25.5" hidden="false" customHeight="true" outlineLevel="0" collapsed="false">
      <c r="B20" s="10" t="s">
        <v>45</v>
      </c>
      <c r="C20" s="11" t="s">
        <v>46</v>
      </c>
      <c r="D20" s="11" t="s">
        <v>42</v>
      </c>
      <c r="E20" s="12" t="n">
        <v>20</v>
      </c>
      <c r="F20" s="12" t="n">
        <v>1</v>
      </c>
      <c r="G20" s="13" t="n">
        <f aca="false">E20-F20</f>
        <v>19</v>
      </c>
      <c r="H20" s="12" t="s">
        <v>28</v>
      </c>
      <c r="I20" s="14" t="n">
        <v>320</v>
      </c>
      <c r="J20" s="12" t="s">
        <v>27</v>
      </c>
      <c r="K20" s="12" t="n">
        <v>2</v>
      </c>
      <c r="L20" s="15" t="n">
        <f aca="false">ROUND((MIN(MAX(G20,0),20)/20*35)+(IF(H20="Yes",25,0))+(MIN(I20,10000)/10000*20)+(IF(J20="Yes",10,0))+((6-MIN(K20,5))/5*10),1)</f>
        <v>51.9</v>
      </c>
      <c r="M20" s="20" t="str">
        <f aca="false">IF(J20="Yes","Watch List",IF(OR(H20="Yes",L20&gt;=60),"Critical / P1",IF(L20&gt;=40,"Strategic / P2",IF(L20&gt;=20,"Preferred / P3","Approved / P4"))))</f>
        <v>Watch List</v>
      </c>
      <c r="N20" s="16" t="str">
        <f aca="false">IF(M20="Critical / P1","7 days",IF(M20="Strategic / P2","14 days",IF(M20="Preferred / P3","21 days",IF(M20="Watch List","Immediate","30 days"))))</f>
        <v>Immediate</v>
      </c>
    </row>
    <row r="21" customFormat="false" ht="25.5" hidden="false" customHeight="true" outlineLevel="0" collapsed="false">
      <c r="B21" s="10" t="s">
        <v>47</v>
      </c>
      <c r="C21" s="11" t="s">
        <v>46</v>
      </c>
      <c r="D21" s="11" t="s">
        <v>42</v>
      </c>
      <c r="E21" s="12" t="n">
        <v>18</v>
      </c>
      <c r="F21" s="12" t="n">
        <v>1</v>
      </c>
      <c r="G21" s="13" t="n">
        <f aca="false">E21-F21</f>
        <v>17</v>
      </c>
      <c r="H21" s="12" t="s">
        <v>28</v>
      </c>
      <c r="I21" s="14" t="n">
        <v>280</v>
      </c>
      <c r="J21" s="12" t="s">
        <v>27</v>
      </c>
      <c r="K21" s="12" t="n">
        <v>2</v>
      </c>
      <c r="L21" s="15" t="n">
        <f aca="false">ROUND((MIN(MAX(G21,0),20)/20*35)+(IF(H21="Yes",25,0))+(MIN(I21,10000)/10000*20)+(IF(J21="Yes",10,0))+((6-MIN(K21,5))/5*10),1)</f>
        <v>48.3</v>
      </c>
      <c r="M21" s="20" t="str">
        <f aca="false">IF(J21="Yes","Watch List",IF(OR(H21="Yes",L21&gt;=60),"Critical / P1",IF(L21&gt;=40,"Strategic / P2",IF(L21&gt;=20,"Preferred / P3","Approved / P4"))))</f>
        <v>Watch List</v>
      </c>
      <c r="N21" s="16" t="str">
        <f aca="false">IF(M21="Critical / P1","7 days",IF(M21="Strategic / P2","14 days",IF(M21="Preferred / P3","21 days",IF(M21="Watch List","Immediate","30 days"))))</f>
        <v>Immediate</v>
      </c>
    </row>
    <row r="22" customFormat="false" ht="19.5" hidden="false" customHeight="true" outlineLevel="0" collapsed="false">
      <c r="B22" s="21" t="s">
        <v>48</v>
      </c>
      <c r="C22" s="21"/>
      <c r="D22" s="21"/>
      <c r="E22" s="21"/>
      <c r="F22" s="21"/>
      <c r="G22" s="21"/>
      <c r="H22" s="21"/>
      <c r="I22" s="21"/>
      <c r="J22" s="21"/>
      <c r="K22" s="21"/>
      <c r="L22" s="21"/>
      <c r="M22" s="21"/>
    </row>
    <row r="23" customFormat="false" ht="21.75" hidden="false" customHeight="true" outlineLevel="0" collapsed="false">
      <c r="B23" s="22" t="str">
        <f aca="false">COUNTIF(M7:M21,"Critical / P1")&amp;" — Critical / P1"</f>
        <v>3 — Critical / P1</v>
      </c>
      <c r="C23" s="22"/>
      <c r="D23" s="23" t="str">
        <f aca="false">COUNTIF(M7:M21,"Strategic / P2")&amp;" — Strategic / P2"</f>
        <v>0 — Strategic / P2</v>
      </c>
      <c r="E23" s="23"/>
      <c r="F23" s="24" t="str">
        <f aca="false">COUNTIF(M7:M21,"Preferred / P3")&amp;" — Preferred / P3"</f>
        <v>1 — Preferred / P3</v>
      </c>
      <c r="G23" s="24"/>
      <c r="H23" s="25" t="str">
        <f aca="false">COUNTIF(M7:M21,"Approved / P4")&amp;" — Approved / P4"</f>
        <v>9 — Approved / P4</v>
      </c>
      <c r="I23" s="25"/>
      <c r="J23" s="26" t="str">
        <f aca="false">COUNTIF(M7:M21,"Watch List")&amp;" — Watch List"</f>
        <v>2 — Watch List</v>
      </c>
      <c r="K23" s="26"/>
    </row>
    <row r="25" customFormat="false" ht="19.5" hidden="false" customHeight="true" outlineLevel="0" collapsed="false">
      <c r="B25" s="21" t="s">
        <v>49</v>
      </c>
      <c r="C25" s="21"/>
      <c r="D25" s="21"/>
      <c r="E25" s="21"/>
      <c r="F25" s="21"/>
      <c r="G25" s="21"/>
      <c r="H25" s="21"/>
      <c r="I25" s="21"/>
      <c r="J25" s="21"/>
      <c r="K25" s="21"/>
      <c r="L25" s="21"/>
      <c r="M25" s="21"/>
    </row>
    <row r="26" customFormat="false" ht="21.75" hidden="false" customHeight="true" outlineLevel="0" collapsed="false">
      <c r="B26" s="16" t="s">
        <v>50</v>
      </c>
      <c r="C26" s="16" t="s">
        <v>51</v>
      </c>
      <c r="D26" s="27" t="s">
        <v>52</v>
      </c>
      <c r="E26" s="27"/>
      <c r="F26" s="27"/>
      <c r="G26" s="27"/>
      <c r="H26" s="27"/>
      <c r="I26" s="27"/>
      <c r="J26" s="27"/>
      <c r="K26" s="27"/>
      <c r="L26" s="27"/>
      <c r="M26" s="27"/>
    </row>
    <row r="27" customFormat="false" ht="21.75" hidden="false" customHeight="true" outlineLevel="0" collapsed="false">
      <c r="B27" s="28" t="s">
        <v>53</v>
      </c>
      <c r="C27" s="28" t="s">
        <v>54</v>
      </c>
      <c r="D27" s="27" t="s">
        <v>55</v>
      </c>
      <c r="E27" s="27"/>
      <c r="F27" s="27"/>
      <c r="G27" s="27"/>
      <c r="H27" s="27"/>
      <c r="I27" s="27"/>
      <c r="J27" s="27"/>
      <c r="K27" s="27"/>
      <c r="L27" s="27"/>
      <c r="M27" s="27"/>
    </row>
    <row r="28" customFormat="false" ht="21.75" hidden="false" customHeight="true" outlineLevel="0" collapsed="false">
      <c r="B28" s="18" t="s">
        <v>56</v>
      </c>
      <c r="C28" s="18" t="s">
        <v>57</v>
      </c>
      <c r="D28" s="27" t="s">
        <v>58</v>
      </c>
      <c r="E28" s="27"/>
      <c r="F28" s="27"/>
      <c r="G28" s="27"/>
      <c r="H28" s="27"/>
      <c r="I28" s="27"/>
      <c r="J28" s="27"/>
      <c r="K28" s="27"/>
      <c r="L28" s="27"/>
      <c r="M28" s="27"/>
    </row>
    <row r="29" customFormat="false" ht="21.75" hidden="false" customHeight="true" outlineLevel="0" collapsed="false">
      <c r="B29" s="16" t="s">
        <v>59</v>
      </c>
      <c r="C29" s="16" t="s">
        <v>60</v>
      </c>
      <c r="D29" s="27" t="s">
        <v>61</v>
      </c>
      <c r="E29" s="27"/>
      <c r="F29" s="27"/>
      <c r="G29" s="27"/>
      <c r="H29" s="27"/>
      <c r="I29" s="27"/>
      <c r="J29" s="27"/>
      <c r="K29" s="27"/>
      <c r="L29" s="27"/>
      <c r="M29" s="27"/>
    </row>
    <row r="30" customFormat="false" ht="21.75" hidden="false" customHeight="true" outlineLevel="0" collapsed="false">
      <c r="B30" s="20" t="s">
        <v>62</v>
      </c>
      <c r="C30" s="20" t="s">
        <v>63</v>
      </c>
      <c r="D30" s="27" t="s">
        <v>64</v>
      </c>
      <c r="E30" s="27"/>
      <c r="F30" s="27"/>
      <c r="G30" s="27"/>
      <c r="H30" s="27"/>
      <c r="I30" s="27"/>
      <c r="J30" s="27"/>
      <c r="K30" s="27"/>
      <c r="L30" s="27"/>
      <c r="M30" s="27"/>
    </row>
  </sheetData>
  <mergeCells count="15">
    <mergeCell ref="B1:M1"/>
    <mergeCell ref="B2:N2"/>
    <mergeCell ref="B4:M4"/>
    <mergeCell ref="B22:M22"/>
    <mergeCell ref="B23:C23"/>
    <mergeCell ref="D23:E23"/>
    <mergeCell ref="F23:G23"/>
    <mergeCell ref="H23:I23"/>
    <mergeCell ref="J23:K23"/>
    <mergeCell ref="B25:M25"/>
    <mergeCell ref="D26:M26"/>
    <mergeCell ref="D27:M27"/>
    <mergeCell ref="D28:M28"/>
    <mergeCell ref="D29:M29"/>
    <mergeCell ref="D30:M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13"/>
    <col collapsed="false" customWidth="true" hidden="false" outlineLevel="0" max="4" min="4" style="1" width="10"/>
    <col collapsed="false" customWidth="true" hidden="false" outlineLevel="0" max="5" min="5" style="1" width="14"/>
    <col collapsed="false" customWidth="true" hidden="false" outlineLevel="0" max="6" min="6" style="1" width="20"/>
    <col collapsed="false" customWidth="true" hidden="false" outlineLevel="0" max="7" min="7" style="1" width="26"/>
    <col collapsed="false" customWidth="true" hidden="false" outlineLevel="0" max="8" min="8" style="1" width="16"/>
    <col collapsed="false" customWidth="true" hidden="false" outlineLevel="0" max="9" min="9" style="1" width="13"/>
    <col collapsed="false" customWidth="true" hidden="false" outlineLevel="0" max="10" min="10" style="1" width="14"/>
    <col collapsed="false" customWidth="true" hidden="false" outlineLevel="0" max="11" min="11" style="1" width="16"/>
    <col collapsed="false" customWidth="true" hidden="false" outlineLevel="0" max="12" min="12" style="1" width="2"/>
  </cols>
  <sheetData>
    <row r="1" customFormat="false" ht="31.5" hidden="false" customHeight="true" outlineLevel="0" collapsed="false">
      <c r="A1" s="2"/>
      <c r="B1" s="3" t="s">
        <v>65</v>
      </c>
      <c r="C1" s="3"/>
      <c r="D1" s="3"/>
      <c r="E1" s="3"/>
      <c r="F1" s="3"/>
      <c r="G1" s="3"/>
      <c r="H1" s="3"/>
      <c r="I1" s="3"/>
      <c r="J1" s="3"/>
      <c r="K1" s="3"/>
    </row>
    <row r="2" customFormat="false" ht="15.75" hidden="false" customHeight="true" outlineLevel="0" collapsed="false">
      <c r="B2" s="29" t="s">
        <v>66</v>
      </c>
      <c r="C2" s="29"/>
      <c r="D2" s="29"/>
      <c r="E2" s="29"/>
      <c r="F2" s="29"/>
      <c r="G2" s="29"/>
      <c r="H2" s="29"/>
      <c r="I2" s="29"/>
      <c r="J2" s="29"/>
      <c r="K2" s="29"/>
      <c r="L2" s="29"/>
      <c r="M2" s="29"/>
      <c r="N2" s="29"/>
    </row>
    <row r="3" customFormat="false" ht="6" hidden="false" customHeight="true" outlineLevel="0" collapsed="false"/>
    <row r="4" customFormat="false" ht="36" hidden="false" customHeight="true" outlineLevel="0" collapsed="false">
      <c r="B4" s="6" t="s">
        <v>3</v>
      </c>
      <c r="C4" s="7" t="s">
        <v>4</v>
      </c>
      <c r="D4" s="7" t="s">
        <v>5</v>
      </c>
      <c r="E4" s="6" t="s">
        <v>67</v>
      </c>
      <c r="F4" s="7" t="s">
        <v>68</v>
      </c>
      <c r="G4" s="7" t="s">
        <v>69</v>
      </c>
      <c r="H4" s="7" t="s">
        <v>70</v>
      </c>
      <c r="I4" s="7" t="s">
        <v>71</v>
      </c>
      <c r="J4" s="7" t="s">
        <v>72</v>
      </c>
      <c r="K4" s="6" t="s">
        <v>73</v>
      </c>
      <c r="L4" s="7" t="s">
        <v>74</v>
      </c>
    </row>
    <row r="5" customFormat="false" ht="21.75" hidden="false" customHeight="true" outlineLevel="0" collapsed="false">
      <c r="B5" s="10" t="s">
        <v>24</v>
      </c>
      <c r="C5" s="30" t="str">
        <f aca="false">IFERROR(INDEX('1. REI Prioritization'!C7:C21,MATCH(B5,'1. REI Prioritization'!B7:B21,0)),"")</f>
        <v>Europe</v>
      </c>
      <c r="D5" s="30" t="str">
        <f aca="false">IFERROR(INDEX('1. REI Prioritization'!D7:D21,MATCH(B5,'1. REI Prioritization'!B7:B21,0)),"")</f>
        <v>Tier 1</v>
      </c>
      <c r="E5" s="16" t="str">
        <f aca="false">IFERROR(INDEX('1. REI Prioritization'!M7:M21,MATCH(B5,'1. REI Prioritization'!B7:B21,0)),"")</f>
        <v>Critical / P1</v>
      </c>
      <c r="F5" s="31" t="s">
        <v>75</v>
      </c>
      <c r="G5" s="32" t="s">
        <v>76</v>
      </c>
      <c r="H5" s="31" t="s">
        <v>77</v>
      </c>
      <c r="I5" s="33" t="s">
        <v>78</v>
      </c>
      <c r="J5" s="33" t="s">
        <v>27</v>
      </c>
      <c r="K5" s="13" t="str">
        <f aca="false">IFERROR(INDEX('1. REI Prioritization'!N7:N21,MATCH(B5,'1. REI Prioritization'!B7:B21,0)),"")</f>
        <v>7 days</v>
      </c>
      <c r="L5" s="34" t="s">
        <v>79</v>
      </c>
    </row>
    <row r="6" customFormat="false" ht="21.75" hidden="false" customHeight="true" outlineLevel="0" collapsed="false">
      <c r="B6" s="10" t="s">
        <v>29</v>
      </c>
      <c r="C6" s="30" t="str">
        <f aca="false">IFERROR(INDEX('1. REI Prioritization'!C7:C21,MATCH(B6,'1. REI Prioritization'!B7:B21,0)),"")</f>
        <v>N. America</v>
      </c>
      <c r="D6" s="30" t="str">
        <f aca="false">IFERROR(INDEX('1. REI Prioritization'!D7:D21,MATCH(B6,'1. REI Prioritization'!B7:B21,0)),"")</f>
        <v>Tier 1</v>
      </c>
      <c r="E6" s="16" t="str">
        <f aca="false">IFERROR(INDEX('1. REI Prioritization'!M7:M21,MATCH(B6,'1. REI Prioritization'!B7:B21,0)),"")</f>
        <v>Critical / P1</v>
      </c>
      <c r="F6" s="31" t="s">
        <v>80</v>
      </c>
      <c r="G6" s="32" t="s">
        <v>81</v>
      </c>
      <c r="H6" s="31" t="s">
        <v>82</v>
      </c>
      <c r="I6" s="33" t="s">
        <v>78</v>
      </c>
      <c r="J6" s="33" t="s">
        <v>27</v>
      </c>
      <c r="K6" s="13" t="str">
        <f aca="false">IFERROR(INDEX('1. REI Prioritization'!N7:N21,MATCH(B6,'1. REI Prioritization'!B7:B21,0)),"")</f>
        <v>7 days</v>
      </c>
      <c r="L6" s="34" t="s">
        <v>83</v>
      </c>
    </row>
    <row r="7" customFormat="false" ht="21.75" hidden="false" customHeight="true" outlineLevel="0" collapsed="false">
      <c r="B7" s="10" t="s">
        <v>31</v>
      </c>
      <c r="C7" s="30" t="str">
        <f aca="false">IFERROR(INDEX('1. REI Prioritization'!C7:C21,MATCH(B7,'1. REI Prioritization'!B7:B21,0)),"")</f>
        <v>N. America</v>
      </c>
      <c r="D7" s="30" t="str">
        <f aca="false">IFERROR(INDEX('1. REI Prioritization'!D7:D21,MATCH(B7,'1. REI Prioritization'!B7:B21,0)),"")</f>
        <v>Tier 1</v>
      </c>
      <c r="E7" s="16" t="str">
        <f aca="false">IFERROR(INDEX('1. REI Prioritization'!M7:M21,MATCH(B7,'1. REI Prioritization'!B7:B21,0)),"")</f>
        <v>Critical / P1</v>
      </c>
      <c r="F7" s="31" t="s">
        <v>84</v>
      </c>
      <c r="G7" s="32" t="s">
        <v>85</v>
      </c>
      <c r="H7" s="31" t="s">
        <v>86</v>
      </c>
      <c r="I7" s="33" t="s">
        <v>78</v>
      </c>
      <c r="J7" s="33" t="s">
        <v>27</v>
      </c>
      <c r="K7" s="13" t="str">
        <f aca="false">IFERROR(INDEX('1. REI Prioritization'!N7:N21,MATCH(B7,'1. REI Prioritization'!B7:B21,0)),"")</f>
        <v>7 days</v>
      </c>
      <c r="L7" s="34"/>
    </row>
    <row r="8" customFormat="false" ht="21.75" hidden="false" customHeight="true" outlineLevel="0" collapsed="false">
      <c r="B8" s="10" t="s">
        <v>32</v>
      </c>
      <c r="C8" s="30" t="str">
        <f aca="false">IFERROR(INDEX('1. REI Prioritization'!C7:C21,MATCH(B8,'1. REI Prioritization'!B7:B21,0)),"")</f>
        <v>N. America</v>
      </c>
      <c r="D8" s="30" t="str">
        <f aca="false">IFERROR(INDEX('1. REI Prioritization'!D7:D21,MATCH(B8,'1. REI Prioritization'!B7:B21,0)),"")</f>
        <v>Tier 1</v>
      </c>
      <c r="E8" s="28" t="str">
        <f aca="false">IFERROR(INDEX('1. REI Prioritization'!M7:M21,MATCH(B8,'1. REI Prioritization'!B7:B21,0)),"")</f>
        <v>Approved / P4</v>
      </c>
      <c r="F8" s="31" t="s">
        <v>87</v>
      </c>
      <c r="G8" s="32" t="s">
        <v>88</v>
      </c>
      <c r="H8" s="31" t="s">
        <v>89</v>
      </c>
      <c r="I8" s="33" t="s">
        <v>78</v>
      </c>
      <c r="J8" s="33" t="s">
        <v>27</v>
      </c>
      <c r="K8" s="13" t="str">
        <f aca="false">IFERROR(INDEX('1. REI Prioritization'!N7:N21,MATCH(B8,'1. REI Prioritization'!B7:B21,0)),"")</f>
        <v>30 days</v>
      </c>
      <c r="L8" s="34"/>
    </row>
    <row r="9" customFormat="false" ht="21.75" hidden="false" customHeight="true" outlineLevel="0" collapsed="false">
      <c r="B9" s="10" t="s">
        <v>33</v>
      </c>
      <c r="C9" s="30" t="str">
        <f aca="false">IFERROR(INDEX('1. REI Prioritization'!C7:C21,MATCH(B9,'1. REI Prioritization'!B7:B21,0)),"")</f>
        <v>Europe</v>
      </c>
      <c r="D9" s="30" t="str">
        <f aca="false">IFERROR(INDEX('1. REI Prioritization'!D7:D21,MATCH(B9,'1. REI Prioritization'!B7:B21,0)),"")</f>
        <v>Tier 1</v>
      </c>
      <c r="E9" s="28" t="str">
        <f aca="false">IFERROR(INDEX('1. REI Prioritization'!M7:M21,MATCH(B9,'1. REI Prioritization'!B7:B21,0)),"")</f>
        <v>Approved / P4</v>
      </c>
      <c r="F9" s="31" t="s">
        <v>90</v>
      </c>
      <c r="G9" s="32" t="s">
        <v>91</v>
      </c>
      <c r="H9" s="31" t="s">
        <v>92</v>
      </c>
      <c r="I9" s="33" t="s">
        <v>78</v>
      </c>
      <c r="J9" s="33" t="s">
        <v>27</v>
      </c>
      <c r="K9" s="13" t="str">
        <f aca="false">IFERROR(INDEX('1. REI Prioritization'!N7:N21,MATCH(B9,'1. REI Prioritization'!B7:B21,0)),"")</f>
        <v>30 days</v>
      </c>
      <c r="L9" s="34"/>
    </row>
    <row r="10" customFormat="false" ht="21.75" hidden="false" customHeight="true" outlineLevel="0" collapsed="false">
      <c r="B10" s="10" t="s">
        <v>34</v>
      </c>
      <c r="C10" s="30" t="str">
        <f aca="false">IFERROR(INDEX('1. REI Prioritization'!C7:C21,MATCH(B10,'1. REI Prioritization'!B7:B21,0)),"")</f>
        <v>Europe</v>
      </c>
      <c r="D10" s="30" t="str">
        <f aca="false">IFERROR(INDEX('1. REI Prioritization'!D7:D21,MATCH(B10,'1. REI Prioritization'!B7:B21,0)),"")</f>
        <v>Tier 1</v>
      </c>
      <c r="E10" s="28" t="str">
        <f aca="false">IFERROR(INDEX('1. REI Prioritization'!M7:M21,MATCH(B10,'1. REI Prioritization'!B7:B21,0)),"")</f>
        <v>Approved / P4</v>
      </c>
      <c r="F10" s="31" t="s">
        <v>93</v>
      </c>
      <c r="G10" s="32" t="s">
        <v>94</v>
      </c>
      <c r="H10" s="31" t="s">
        <v>95</v>
      </c>
      <c r="I10" s="33" t="s">
        <v>78</v>
      </c>
      <c r="J10" s="33" t="s">
        <v>27</v>
      </c>
      <c r="K10" s="13" t="str">
        <f aca="false">IFERROR(INDEX('1. REI Prioritization'!N7:N21,MATCH(B10,'1. REI Prioritization'!B7:B21,0)),"")</f>
        <v>30 days</v>
      </c>
      <c r="L10" s="34"/>
    </row>
    <row r="11" customFormat="false" ht="21.75" hidden="false" customHeight="true" outlineLevel="0" collapsed="false">
      <c r="B11" s="10" t="s">
        <v>35</v>
      </c>
      <c r="C11" s="30" t="str">
        <f aca="false">IFERROR(INDEX('1. REI Prioritization'!C7:C21,MATCH(B11,'1. REI Prioritization'!B7:B21,0)),"")</f>
        <v>N. America</v>
      </c>
      <c r="D11" s="30" t="str">
        <f aca="false">IFERROR(INDEX('1. REI Prioritization'!D7:D21,MATCH(B11,'1. REI Prioritization'!B7:B21,0)),"")</f>
        <v>Tier 1</v>
      </c>
      <c r="E11" s="28" t="str">
        <f aca="false">IFERROR(INDEX('1. REI Prioritization'!M7:M21,MATCH(B11,'1. REI Prioritization'!B7:B21,0)),"")</f>
        <v>Approved / P4</v>
      </c>
      <c r="F11" s="31" t="s">
        <v>96</v>
      </c>
      <c r="G11" s="32" t="s">
        <v>97</v>
      </c>
      <c r="H11" s="31" t="s">
        <v>98</v>
      </c>
      <c r="I11" s="33" t="s">
        <v>78</v>
      </c>
      <c r="J11" s="33" t="s">
        <v>27</v>
      </c>
      <c r="K11" s="13" t="str">
        <f aca="false">IFERROR(INDEX('1. REI Prioritization'!N7:N21,MATCH(B11,'1. REI Prioritization'!B7:B21,0)),"")</f>
        <v>30 days</v>
      </c>
      <c r="L11" s="34"/>
    </row>
    <row r="12" customFormat="false" ht="21.75" hidden="false" customHeight="true" outlineLevel="0" collapsed="false">
      <c r="B12" s="10" t="s">
        <v>36</v>
      </c>
      <c r="C12" s="30" t="str">
        <f aca="false">IFERROR(INDEX('1. REI Prioritization'!C7:C21,MATCH(B12,'1. REI Prioritization'!B7:B21,0)),"")</f>
        <v>Mexico</v>
      </c>
      <c r="D12" s="30" t="str">
        <f aca="false">IFERROR(INDEX('1. REI Prioritization'!D7:D21,MATCH(B12,'1. REI Prioritization'!B7:B21,0)),"")</f>
        <v>Tier 1</v>
      </c>
      <c r="E12" s="28" t="str">
        <f aca="false">IFERROR(INDEX('1. REI Prioritization'!M7:M21,MATCH(B12,'1. REI Prioritization'!B7:B21,0)),"")</f>
        <v>Approved / P4</v>
      </c>
      <c r="F12" s="31" t="s">
        <v>99</v>
      </c>
      <c r="G12" s="32" t="s">
        <v>100</v>
      </c>
      <c r="H12" s="31" t="s">
        <v>101</v>
      </c>
      <c r="I12" s="33" t="s">
        <v>78</v>
      </c>
      <c r="J12" s="33" t="s">
        <v>27</v>
      </c>
      <c r="K12" s="13" t="str">
        <f aca="false">IFERROR(INDEX('1. REI Prioritization'!N7:N21,MATCH(B12,'1. REI Prioritization'!B7:B21,0)),"")</f>
        <v>30 days</v>
      </c>
      <c r="L12" s="34"/>
    </row>
    <row r="13" customFormat="false" ht="21.75" hidden="false" customHeight="true" outlineLevel="0" collapsed="false">
      <c r="B13" s="10" t="s">
        <v>38</v>
      </c>
      <c r="C13" s="30" t="str">
        <f aca="false">IFERROR(INDEX('1. REI Prioritization'!C7:C21,MATCH(B13,'1. REI Prioritization'!B7:B21,0)),"")</f>
        <v>India</v>
      </c>
      <c r="D13" s="30" t="str">
        <f aca="false">IFERROR(INDEX('1. REI Prioritization'!D7:D21,MATCH(B13,'1. REI Prioritization'!B7:B21,0)),"")</f>
        <v>Tier 1</v>
      </c>
      <c r="E13" s="35" t="str">
        <f aca="false">IFERROR(INDEX('1. REI Prioritization'!M7:M21,MATCH(B13,'1. REI Prioritization'!B7:B21,0)),"")</f>
        <v>Approved / P4</v>
      </c>
      <c r="F13" s="31" t="s">
        <v>102</v>
      </c>
      <c r="G13" s="32" t="s">
        <v>103</v>
      </c>
      <c r="H13" s="31" t="s">
        <v>104</v>
      </c>
      <c r="I13" s="33" t="s">
        <v>78</v>
      </c>
      <c r="J13" s="33" t="s">
        <v>27</v>
      </c>
      <c r="K13" s="13" t="str">
        <f aca="false">IFERROR(INDEX('1. REI Prioritization'!N7:N21,MATCH(B13,'1. REI Prioritization'!B7:B21,0)),"")</f>
        <v>30 days</v>
      </c>
      <c r="L13" s="34"/>
    </row>
    <row r="14" customFormat="false" ht="21.75" hidden="false" customHeight="true" outlineLevel="0" collapsed="false">
      <c r="B14" s="10" t="s">
        <v>40</v>
      </c>
      <c r="C14" s="30" t="str">
        <f aca="false">IFERROR(INDEX('1. REI Prioritization'!C7:C21,MATCH(B14,'1. REI Prioritization'!B7:B21,0)),"")</f>
        <v>N. America</v>
      </c>
      <c r="D14" s="30" t="str">
        <f aca="false">IFERROR(INDEX('1. REI Prioritization'!D7:D21,MATCH(B14,'1. REI Prioritization'!B7:B21,0)),"")</f>
        <v>Tier 1</v>
      </c>
      <c r="E14" s="35" t="str">
        <f aca="false">IFERROR(INDEX('1. REI Prioritization'!M7:M21,MATCH(B14,'1. REI Prioritization'!B7:B21,0)),"")</f>
        <v>Approved / P4</v>
      </c>
      <c r="F14" s="31" t="s">
        <v>105</v>
      </c>
      <c r="G14" s="32" t="s">
        <v>106</v>
      </c>
      <c r="H14" s="31"/>
      <c r="I14" s="33" t="s">
        <v>78</v>
      </c>
      <c r="J14" s="33" t="s">
        <v>27</v>
      </c>
      <c r="K14" s="13" t="str">
        <f aca="false">IFERROR(INDEX('1. REI Prioritization'!N7:N21,MATCH(B14,'1. REI Prioritization'!B7:B21,0)),"")</f>
        <v>30 days</v>
      </c>
      <c r="L14" s="34"/>
    </row>
    <row r="15" customFormat="false" ht="21.75" hidden="false" customHeight="true" outlineLevel="0" collapsed="false">
      <c r="B15" s="10" t="s">
        <v>41</v>
      </c>
      <c r="C15" s="30" t="str">
        <f aca="false">IFERROR(INDEX('1. REI Prioritization'!C7:C21,MATCH(B15,'1. REI Prioritization'!B7:B21,0)),"")</f>
        <v>India</v>
      </c>
      <c r="D15" s="30" t="str">
        <f aca="false">IFERROR(INDEX('1. REI Prioritization'!D7:D21,MATCH(B15,'1. REI Prioritization'!B7:B21,0)),"")</f>
        <v>Tier 2</v>
      </c>
      <c r="E15" s="35" t="str">
        <f aca="false">IFERROR(INDEX('1. REI Prioritization'!M7:M21,MATCH(B15,'1. REI Prioritization'!B7:B21,0)),"")</f>
        <v>Preferred / P3</v>
      </c>
      <c r="F15" s="31" t="s">
        <v>107</v>
      </c>
      <c r="G15" s="32" t="s">
        <v>108</v>
      </c>
      <c r="H15" s="31" t="s">
        <v>109</v>
      </c>
      <c r="I15" s="36" t="s">
        <v>110</v>
      </c>
      <c r="J15" s="33" t="s">
        <v>27</v>
      </c>
      <c r="K15" s="13" t="str">
        <f aca="false">IFERROR(INDEX('1. REI Prioritization'!N7:N21,MATCH(B15,'1. REI Prioritization'!B7:B21,0)),"")</f>
        <v>21 days</v>
      </c>
      <c r="L15" s="34" t="s">
        <v>111</v>
      </c>
    </row>
    <row r="16" customFormat="false" ht="21.75" hidden="false" customHeight="true" outlineLevel="0" collapsed="false">
      <c r="B16" s="10" t="s">
        <v>43</v>
      </c>
      <c r="C16" s="30" t="str">
        <f aca="false">IFERROR(INDEX('1. REI Prioritization'!C7:C21,MATCH(B16,'1. REI Prioritization'!B7:B21,0)),"")</f>
        <v>India</v>
      </c>
      <c r="D16" s="30" t="str">
        <f aca="false">IFERROR(INDEX('1. REI Prioritization'!D7:D21,MATCH(B16,'1. REI Prioritization'!B7:B21,0)),"")</f>
        <v>Tier 2</v>
      </c>
      <c r="E16" s="35" t="str">
        <f aca="false">IFERROR(INDEX('1. REI Prioritization'!M7:M21,MATCH(B16,'1. REI Prioritization'!B7:B21,0)),"")</f>
        <v>Approved / P4</v>
      </c>
      <c r="F16" s="31" t="s">
        <v>112</v>
      </c>
      <c r="G16" s="32" t="s">
        <v>113</v>
      </c>
      <c r="H16" s="31"/>
      <c r="I16" s="36" t="s">
        <v>110</v>
      </c>
      <c r="J16" s="33" t="s">
        <v>27</v>
      </c>
      <c r="K16" s="13" t="str">
        <f aca="false">IFERROR(INDEX('1. REI Prioritization'!N7:N21,MATCH(B16,'1. REI Prioritization'!B7:B21,0)),"")</f>
        <v>30 days</v>
      </c>
      <c r="L16" s="34"/>
    </row>
    <row r="17" customFormat="false" ht="21.75" hidden="false" customHeight="true" outlineLevel="0" collapsed="false">
      <c r="B17" s="10" t="s">
        <v>44</v>
      </c>
      <c r="C17" s="30" t="str">
        <f aca="false">IFERROR(INDEX('1. REI Prioritization'!C7:C21,MATCH(B17,'1. REI Prioritization'!B7:B21,0)),"")</f>
        <v>Europe</v>
      </c>
      <c r="D17" s="30" t="str">
        <f aca="false">IFERROR(INDEX('1. REI Prioritization'!D7:D21,MATCH(B17,'1. REI Prioritization'!B7:B21,0)),"")</f>
        <v>Tier 2</v>
      </c>
      <c r="E17" s="18" t="str">
        <f aca="false">IFERROR(INDEX('1. REI Prioritization'!M7:M21,MATCH(B17,'1. REI Prioritization'!B7:B21,0)),"")</f>
        <v>Approved / P4</v>
      </c>
      <c r="F17" s="31" t="s">
        <v>114</v>
      </c>
      <c r="G17" s="32" t="s">
        <v>115</v>
      </c>
      <c r="H17" s="31"/>
      <c r="I17" s="36" t="s">
        <v>110</v>
      </c>
      <c r="J17" s="33" t="s">
        <v>27</v>
      </c>
      <c r="K17" s="13" t="str">
        <f aca="false">IFERROR(INDEX('1. REI Prioritization'!N7:N21,MATCH(B17,'1. REI Prioritization'!B7:B21,0)),"")</f>
        <v>30 days</v>
      </c>
      <c r="L17" s="34"/>
    </row>
    <row r="18" customFormat="false" ht="21.75" hidden="false" customHeight="true" outlineLevel="0" collapsed="false">
      <c r="B18" s="10" t="s">
        <v>45</v>
      </c>
      <c r="C18" s="30" t="str">
        <f aca="false">IFERROR(INDEX('1. REI Prioritization'!C7:C21,MATCH(B18,'1. REI Prioritization'!B7:B21,0)),"")</f>
        <v>Asia Pacific</v>
      </c>
      <c r="D18" s="30" t="str">
        <f aca="false">IFERROR(INDEX('1. REI Prioritization'!D7:D21,MATCH(B18,'1. REI Prioritization'!B7:B21,0)),"")</f>
        <v>Tier 2</v>
      </c>
      <c r="E18" s="20" t="str">
        <f aca="false">IFERROR(INDEX('1. REI Prioritization'!M7:M21,MATCH(B18,'1. REI Prioritization'!B7:B21,0)),"")</f>
        <v>Watch List</v>
      </c>
      <c r="F18" s="31" t="s">
        <v>116</v>
      </c>
      <c r="G18" s="37" t="s">
        <v>117</v>
      </c>
      <c r="H18" s="31" t="s">
        <v>118</v>
      </c>
      <c r="I18" s="38" t="s">
        <v>119</v>
      </c>
      <c r="J18" s="33" t="s">
        <v>27</v>
      </c>
      <c r="K18" s="13" t="str">
        <f aca="false">IFERROR(INDEX('1. REI Prioritization'!N7:N21,MATCH(B18,'1. REI Prioritization'!B7:B21,0)),"")</f>
        <v>Immediate</v>
      </c>
      <c r="L18" s="34" t="s">
        <v>120</v>
      </c>
    </row>
    <row r="19" customFormat="false" ht="21.75" hidden="false" customHeight="true" outlineLevel="0" collapsed="false">
      <c r="B19" s="10" t="s">
        <v>47</v>
      </c>
      <c r="C19" s="30" t="str">
        <f aca="false">IFERROR(INDEX('1. REI Prioritization'!C7:C21,MATCH(B19,'1. REI Prioritization'!B7:B21,0)),"")</f>
        <v>Asia Pacific</v>
      </c>
      <c r="D19" s="30" t="str">
        <f aca="false">IFERROR(INDEX('1. REI Prioritization'!D7:D21,MATCH(B19,'1. REI Prioritization'!B7:B21,0)),"")</f>
        <v>Tier 2</v>
      </c>
      <c r="E19" s="20" t="str">
        <f aca="false">IFERROR(INDEX('1. REI Prioritization'!M7:M21,MATCH(B19,'1. REI Prioritization'!B7:B21,0)),"")</f>
        <v>Watch List</v>
      </c>
      <c r="F19" s="31" t="s">
        <v>121</v>
      </c>
      <c r="G19" s="32" t="s">
        <v>122</v>
      </c>
      <c r="H19" s="31"/>
      <c r="I19" s="38" t="s">
        <v>119</v>
      </c>
      <c r="J19" s="33" t="s">
        <v>27</v>
      </c>
      <c r="K19" s="13" t="str">
        <f aca="false">IFERROR(INDEX('1. REI Prioritization'!N7:N21,MATCH(B19,'1. REI Prioritization'!B7:B21,0)),"")</f>
        <v>Immediate</v>
      </c>
      <c r="L19" s="34" t="s">
        <v>123</v>
      </c>
    </row>
    <row r="21" customFormat="false" ht="19.5" hidden="false" customHeight="true" outlineLevel="0" collapsed="false">
      <c r="B21" s="21" t="s">
        <v>124</v>
      </c>
      <c r="C21" s="21"/>
      <c r="D21" s="21"/>
      <c r="E21" s="21"/>
      <c r="F21" s="21"/>
      <c r="G21" s="21"/>
      <c r="H21" s="21"/>
      <c r="I21" s="21"/>
      <c r="J21" s="21"/>
      <c r="K21" s="21"/>
    </row>
  </sheetData>
  <mergeCells count="3">
    <mergeCell ref="B1:K1"/>
    <mergeCell ref="B2:N2"/>
    <mergeCell ref="B21:K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18"/>
    <col collapsed="false" customWidth="true" hidden="false" outlineLevel="0" max="5" min="4" style="1" width="16"/>
    <col collapsed="false" customWidth="true" hidden="false" outlineLevel="0" max="7" min="6" style="1" width="12"/>
    <col collapsed="false" customWidth="true" hidden="false" outlineLevel="0" max="8" min="8" style="1" width="16"/>
    <col collapsed="false" customWidth="true" hidden="false" outlineLevel="0" max="10" min="9" style="1" width="20"/>
    <col collapsed="false" customWidth="true" hidden="false" outlineLevel="0" max="11" min="11" style="1" width="2"/>
  </cols>
  <sheetData>
    <row r="1" customFormat="false" ht="31.5" hidden="false" customHeight="true" outlineLevel="0" collapsed="false">
      <c r="A1" s="2"/>
      <c r="B1" s="3" t="s">
        <v>125</v>
      </c>
      <c r="C1" s="3"/>
      <c r="D1" s="3"/>
      <c r="E1" s="3"/>
      <c r="F1" s="3"/>
      <c r="G1" s="3"/>
      <c r="H1" s="3"/>
      <c r="I1" s="3"/>
      <c r="J1" s="3"/>
    </row>
    <row r="2" customFormat="false" ht="15.75" hidden="false" customHeight="true" outlineLevel="0" collapsed="false">
      <c r="B2" s="29" t="s">
        <v>126</v>
      </c>
      <c r="C2" s="29"/>
      <c r="D2" s="29"/>
      <c r="E2" s="29"/>
      <c r="F2" s="29"/>
      <c r="G2" s="29"/>
      <c r="H2" s="29"/>
      <c r="I2" s="29"/>
      <c r="J2" s="29"/>
      <c r="K2" s="29"/>
      <c r="L2" s="29"/>
      <c r="M2" s="29"/>
      <c r="N2" s="29"/>
    </row>
    <row r="3" customFormat="false" ht="6" hidden="false" customHeight="true" outlineLevel="0" collapsed="false"/>
    <row r="4" customFormat="false" ht="36" hidden="false" customHeight="true" outlineLevel="0" collapsed="false">
      <c r="B4" s="6" t="s">
        <v>127</v>
      </c>
      <c r="C4" s="39" t="s">
        <v>128</v>
      </c>
      <c r="D4" s="7" t="s">
        <v>129</v>
      </c>
      <c r="E4" s="6" t="s">
        <v>130</v>
      </c>
      <c r="F4" s="7" t="s">
        <v>131</v>
      </c>
      <c r="G4" s="7" t="s">
        <v>132</v>
      </c>
      <c r="H4" s="7" t="s">
        <v>133</v>
      </c>
      <c r="I4" s="40" t="s">
        <v>134</v>
      </c>
      <c r="J4" s="7" t="s">
        <v>135</v>
      </c>
    </row>
    <row r="5" customFormat="false" ht="19.5" hidden="false" customHeight="true" outlineLevel="0" collapsed="false">
      <c r="B5" s="41" t="s">
        <v>136</v>
      </c>
      <c r="C5" s="41"/>
      <c r="D5" s="41"/>
      <c r="E5" s="41"/>
      <c r="F5" s="41"/>
      <c r="G5" s="41"/>
      <c r="H5" s="41"/>
      <c r="I5" s="41"/>
      <c r="J5" s="41"/>
    </row>
    <row r="6" customFormat="false" ht="37.5" hidden="false" customHeight="true" outlineLevel="0" collapsed="false">
      <c r="B6" s="42" t="s">
        <v>137</v>
      </c>
      <c r="C6" s="43" t="s">
        <v>138</v>
      </c>
      <c r="D6" s="11" t="s">
        <v>139</v>
      </c>
      <c r="E6" s="11" t="s">
        <v>140</v>
      </c>
      <c r="F6" s="11" t="s">
        <v>141</v>
      </c>
      <c r="G6" s="44" t="s">
        <v>142</v>
      </c>
      <c r="H6" s="44" t="s">
        <v>143</v>
      </c>
      <c r="I6" s="45" t="s">
        <v>144</v>
      </c>
      <c r="J6" s="43" t="s">
        <v>145</v>
      </c>
    </row>
    <row r="7" customFormat="false" ht="37.5" hidden="false" customHeight="true" outlineLevel="0" collapsed="false">
      <c r="B7" s="42" t="s">
        <v>146</v>
      </c>
      <c r="C7" s="43" t="s">
        <v>138</v>
      </c>
      <c r="D7" s="11" t="s">
        <v>139</v>
      </c>
      <c r="E7" s="11" t="s">
        <v>147</v>
      </c>
      <c r="F7" s="11" t="s">
        <v>141</v>
      </c>
      <c r="G7" s="44" t="s">
        <v>142</v>
      </c>
      <c r="H7" s="44" t="s">
        <v>148</v>
      </c>
      <c r="I7" s="45" t="s">
        <v>144</v>
      </c>
      <c r="J7" s="43" t="s">
        <v>149</v>
      </c>
    </row>
    <row r="8" customFormat="false" ht="37.5" hidden="false" customHeight="true" outlineLevel="0" collapsed="false">
      <c r="B8" s="42" t="s">
        <v>150</v>
      </c>
      <c r="C8" s="43" t="s">
        <v>138</v>
      </c>
      <c r="D8" s="11" t="s">
        <v>139</v>
      </c>
      <c r="E8" s="11" t="s">
        <v>151</v>
      </c>
      <c r="F8" s="11" t="s">
        <v>152</v>
      </c>
      <c r="G8" s="44" t="s">
        <v>153</v>
      </c>
      <c r="H8" s="44" t="s">
        <v>154</v>
      </c>
      <c r="I8" s="45" t="s">
        <v>155</v>
      </c>
      <c r="J8" s="43" t="s">
        <v>156</v>
      </c>
    </row>
    <row r="9" customFormat="false" ht="37.5" hidden="false" customHeight="true" outlineLevel="0" collapsed="false">
      <c r="B9" s="42" t="s">
        <v>157</v>
      </c>
      <c r="C9" s="43" t="s">
        <v>138</v>
      </c>
      <c r="D9" s="11" t="s">
        <v>139</v>
      </c>
      <c r="E9" s="11" t="s">
        <v>158</v>
      </c>
      <c r="F9" s="11" t="s">
        <v>152</v>
      </c>
      <c r="G9" s="44" t="s">
        <v>159</v>
      </c>
      <c r="H9" s="44" t="s">
        <v>154</v>
      </c>
      <c r="I9" s="45" t="s">
        <v>155</v>
      </c>
      <c r="J9" s="43" t="s">
        <v>160</v>
      </c>
    </row>
    <row r="10" customFormat="false" ht="19.5" hidden="false" customHeight="true" outlineLevel="0" collapsed="false">
      <c r="B10" s="46" t="s">
        <v>161</v>
      </c>
      <c r="C10" s="46"/>
      <c r="D10" s="46"/>
      <c r="E10" s="46"/>
      <c r="F10" s="46"/>
      <c r="G10" s="46"/>
      <c r="H10" s="46"/>
      <c r="I10" s="46"/>
      <c r="J10" s="46"/>
    </row>
    <row r="11" customFormat="false" ht="37.5" hidden="false" customHeight="true" outlineLevel="0" collapsed="false">
      <c r="B11" s="47" t="s">
        <v>162</v>
      </c>
      <c r="C11" s="43" t="s">
        <v>163</v>
      </c>
      <c r="D11" s="11" t="s">
        <v>139</v>
      </c>
      <c r="E11" s="11" t="s">
        <v>164</v>
      </c>
      <c r="F11" s="11" t="s">
        <v>152</v>
      </c>
      <c r="G11" s="44" t="s">
        <v>165</v>
      </c>
      <c r="H11" s="44" t="s">
        <v>166</v>
      </c>
      <c r="I11" s="45" t="s">
        <v>167</v>
      </c>
      <c r="J11" s="43" t="s">
        <v>168</v>
      </c>
    </row>
    <row r="12" customFormat="false" ht="37.5" hidden="false" customHeight="true" outlineLevel="0" collapsed="false">
      <c r="B12" s="47" t="s">
        <v>169</v>
      </c>
      <c r="C12" s="43" t="s">
        <v>163</v>
      </c>
      <c r="D12" s="11" t="s">
        <v>139</v>
      </c>
      <c r="E12" s="11" t="s">
        <v>170</v>
      </c>
      <c r="F12" s="11" t="s">
        <v>152</v>
      </c>
      <c r="G12" s="44" t="s">
        <v>159</v>
      </c>
      <c r="H12" s="44" t="s">
        <v>154</v>
      </c>
      <c r="I12" s="45" t="s">
        <v>171</v>
      </c>
      <c r="J12" s="43" t="s">
        <v>172</v>
      </c>
    </row>
    <row r="13" customFormat="false" ht="37.5" hidden="false" customHeight="true" outlineLevel="0" collapsed="false">
      <c r="B13" s="47" t="s">
        <v>173</v>
      </c>
      <c r="C13" s="43" t="s">
        <v>163</v>
      </c>
      <c r="D13" s="11" t="s">
        <v>139</v>
      </c>
      <c r="E13" s="11" t="s">
        <v>174</v>
      </c>
      <c r="F13" s="11" t="s">
        <v>152</v>
      </c>
      <c r="G13" s="44" t="s">
        <v>175</v>
      </c>
      <c r="H13" s="44" t="s">
        <v>154</v>
      </c>
      <c r="I13" s="45" t="s">
        <v>176</v>
      </c>
      <c r="J13" s="43" t="s">
        <v>177</v>
      </c>
    </row>
    <row r="14" customFormat="false" ht="19.5" hidden="false" customHeight="true" outlineLevel="0" collapsed="false">
      <c r="B14" s="48" t="s">
        <v>178</v>
      </c>
      <c r="C14" s="48"/>
      <c r="D14" s="48"/>
      <c r="E14" s="48"/>
      <c r="F14" s="48"/>
      <c r="G14" s="48"/>
      <c r="H14" s="48"/>
      <c r="I14" s="48"/>
      <c r="J14" s="48"/>
    </row>
    <row r="15" customFormat="false" ht="37.5" hidden="false" customHeight="true" outlineLevel="0" collapsed="false">
      <c r="B15" s="49" t="s">
        <v>179</v>
      </c>
      <c r="C15" s="43" t="s">
        <v>180</v>
      </c>
      <c r="D15" s="11" t="s">
        <v>181</v>
      </c>
      <c r="E15" s="11" t="s">
        <v>182</v>
      </c>
      <c r="F15" s="11" t="s">
        <v>183</v>
      </c>
      <c r="G15" s="44" t="s">
        <v>184</v>
      </c>
      <c r="H15" s="44" t="s">
        <v>185</v>
      </c>
      <c r="I15" s="45" t="s">
        <v>186</v>
      </c>
      <c r="J15" s="43" t="s">
        <v>187</v>
      </c>
    </row>
    <row r="16" customFormat="false" ht="37.5" hidden="false" customHeight="true" outlineLevel="0" collapsed="false">
      <c r="B16" s="49" t="s">
        <v>188</v>
      </c>
      <c r="C16" s="43" t="s">
        <v>180</v>
      </c>
      <c r="D16" s="11" t="s">
        <v>189</v>
      </c>
      <c r="E16" s="11" t="s">
        <v>190</v>
      </c>
      <c r="F16" s="11" t="s">
        <v>183</v>
      </c>
      <c r="G16" s="44" t="s">
        <v>184</v>
      </c>
      <c r="H16" s="44" t="s">
        <v>185</v>
      </c>
      <c r="I16" s="45" t="s">
        <v>186</v>
      </c>
      <c r="J16" s="43" t="s">
        <v>191</v>
      </c>
    </row>
    <row r="17" customFormat="false" ht="19.5" hidden="false" customHeight="true" outlineLevel="0" collapsed="false">
      <c r="B17" s="50" t="s">
        <v>192</v>
      </c>
      <c r="C17" s="50"/>
      <c r="D17" s="50"/>
      <c r="E17" s="50"/>
      <c r="F17" s="50"/>
      <c r="G17" s="50"/>
      <c r="H17" s="50"/>
      <c r="I17" s="50"/>
      <c r="J17" s="50"/>
    </row>
    <row r="18" customFormat="false" ht="37.5" hidden="false" customHeight="true" outlineLevel="0" collapsed="false">
      <c r="B18" s="51" t="s">
        <v>193</v>
      </c>
      <c r="C18" s="43" t="s">
        <v>194</v>
      </c>
      <c r="D18" s="11" t="s">
        <v>139</v>
      </c>
      <c r="E18" s="11" t="s">
        <v>195</v>
      </c>
      <c r="F18" s="11" t="s">
        <v>196</v>
      </c>
      <c r="G18" s="44" t="s">
        <v>197</v>
      </c>
      <c r="H18" s="44" t="s">
        <v>143</v>
      </c>
      <c r="I18" s="45" t="s">
        <v>198</v>
      </c>
      <c r="J18" s="43" t="s">
        <v>199</v>
      </c>
    </row>
    <row r="19" customFormat="false" ht="37.5" hidden="false" customHeight="true" outlineLevel="0" collapsed="false">
      <c r="B19" s="51" t="s">
        <v>200</v>
      </c>
      <c r="C19" s="43" t="s">
        <v>194</v>
      </c>
      <c r="D19" s="11" t="s">
        <v>139</v>
      </c>
      <c r="E19" s="11" t="s">
        <v>201</v>
      </c>
      <c r="F19" s="11" t="s">
        <v>152</v>
      </c>
      <c r="G19" s="44" t="s">
        <v>153</v>
      </c>
      <c r="H19" s="44" t="s">
        <v>154</v>
      </c>
      <c r="I19" s="45" t="s">
        <v>198</v>
      </c>
      <c r="J19" s="43" t="s">
        <v>202</v>
      </c>
    </row>
    <row r="20" customFormat="false" ht="37.5" hidden="false" customHeight="true" outlineLevel="0" collapsed="false">
      <c r="B20" s="51" t="s">
        <v>203</v>
      </c>
      <c r="C20" s="43" t="s">
        <v>194</v>
      </c>
      <c r="D20" s="11" t="s">
        <v>139</v>
      </c>
      <c r="E20" s="11" t="s">
        <v>204</v>
      </c>
      <c r="F20" s="11" t="s">
        <v>184</v>
      </c>
      <c r="G20" s="44" t="s">
        <v>205</v>
      </c>
      <c r="H20" s="44" t="s">
        <v>185</v>
      </c>
      <c r="I20" s="45" t="s">
        <v>206</v>
      </c>
      <c r="J20" s="43" t="s">
        <v>207</v>
      </c>
    </row>
  </sheetData>
  <mergeCells count="6">
    <mergeCell ref="B1:J1"/>
    <mergeCell ref="B2:N2"/>
    <mergeCell ref="B5:J5"/>
    <mergeCell ref="B10:J10"/>
    <mergeCell ref="B14:J14"/>
    <mergeCell ref="B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13"/>
    <col collapsed="false" customWidth="true" hidden="false" outlineLevel="0" max="4" min="4" style="1" width="10"/>
    <col collapsed="false" customWidth="true" hidden="false" outlineLevel="0" max="5" min="5" style="1" width="22"/>
    <col collapsed="false" customWidth="true" hidden="false" outlineLevel="0" max="8" min="6" style="1" width="13"/>
    <col collapsed="false" customWidth="true" hidden="false" outlineLevel="0" max="10" min="9" style="1" width="14"/>
    <col collapsed="false" customWidth="true" hidden="false" outlineLevel="0" max="11" min="11" style="1" width="16"/>
    <col collapsed="false" customWidth="true" hidden="false" outlineLevel="0" max="12" min="12" style="1" width="22"/>
    <col collapsed="false" customWidth="true" hidden="false" outlineLevel="0" max="13" min="13" style="1" width="2"/>
  </cols>
  <sheetData>
    <row r="1" customFormat="false" ht="31.5" hidden="false" customHeight="true" outlineLevel="0" collapsed="false">
      <c r="A1" s="2"/>
      <c r="B1" s="3" t="s">
        <v>208</v>
      </c>
      <c r="C1" s="3"/>
      <c r="D1" s="3"/>
      <c r="E1" s="3"/>
      <c r="F1" s="3"/>
      <c r="G1" s="3"/>
      <c r="H1" s="3"/>
      <c r="I1" s="3"/>
      <c r="J1" s="3"/>
      <c r="K1" s="3"/>
      <c r="L1" s="3"/>
    </row>
    <row r="2" customFormat="false" ht="15.75" hidden="false" customHeight="true" outlineLevel="0" collapsed="false">
      <c r="B2" s="4" t="s">
        <v>209</v>
      </c>
      <c r="C2" s="4"/>
      <c r="D2" s="4"/>
      <c r="E2" s="4"/>
      <c r="F2" s="4"/>
      <c r="G2" s="4"/>
      <c r="H2" s="4"/>
      <c r="I2" s="4"/>
      <c r="J2" s="4"/>
      <c r="K2" s="4"/>
      <c r="L2" s="4"/>
      <c r="M2" s="4"/>
      <c r="N2" s="4"/>
    </row>
    <row r="3" customFormat="false" ht="6" hidden="false" customHeight="true" outlineLevel="0" collapsed="false"/>
    <row r="4" customFormat="false" ht="25.5" hidden="false" customHeight="true" outlineLevel="0" collapsed="false">
      <c r="B4" s="52" t="s">
        <v>210</v>
      </c>
      <c r="C4" s="53"/>
      <c r="D4" s="54" t="s">
        <v>211</v>
      </c>
      <c r="E4" s="55"/>
      <c r="F4" s="56"/>
      <c r="G4" s="52" t="s">
        <v>212</v>
      </c>
      <c r="I4" s="57" t="s">
        <v>213</v>
      </c>
    </row>
    <row r="5" customFormat="false" ht="30" hidden="false" customHeight="true" outlineLevel="0" collapsed="false">
      <c r="B5" s="58" t="n">
        <f aca="false">COUNTA(B9:B500)</f>
        <v>15</v>
      </c>
      <c r="C5" s="59" t="n">
        <f aca="false">COUNTIF(H9:H500,"Responded")</f>
        <v>9</v>
      </c>
      <c r="D5" s="60" t="n">
        <f aca="false">COUNTIF(H9:H500,"Pending")</f>
        <v>4</v>
      </c>
      <c r="E5" s="61" t="n">
        <f aca="false">COUNTIF(H9:H500,"Escalated")</f>
        <v>2</v>
      </c>
      <c r="F5" s="62" t="n">
        <f aca="false">IFERROR(COUNTIF(H9:H500,"Responded")/COUNTA(B9:B500),0)</f>
        <v>0.6</v>
      </c>
      <c r="G5" s="52" t="s">
        <v>214</v>
      </c>
      <c r="I5" s="57" t="n">
        <f aca="false">15</f>
        <v>15</v>
      </c>
    </row>
    <row r="6" customFormat="false" ht="18" hidden="false" customHeight="true" outlineLevel="0" collapsed="false">
      <c r="B6" s="63" t="s">
        <v>215</v>
      </c>
      <c r="C6" s="64" t="s">
        <v>216</v>
      </c>
      <c r="D6" s="65" t="s">
        <v>110</v>
      </c>
      <c r="E6" s="66" t="s">
        <v>217</v>
      </c>
      <c r="F6" s="67" t="s">
        <v>218</v>
      </c>
      <c r="G6" s="52" t="s">
        <v>219</v>
      </c>
      <c r="I6" s="57" t="s">
        <v>220</v>
      </c>
    </row>
    <row r="7" customFormat="false" ht="7.5" hidden="false" customHeight="true" outlineLevel="0" collapsed="false"/>
    <row r="8" customFormat="false" ht="36" hidden="false" customHeight="true" outlineLevel="0" collapsed="false">
      <c r="B8" s="6" t="s">
        <v>221</v>
      </c>
      <c r="C8" s="7" t="s">
        <v>222</v>
      </c>
      <c r="D8" s="7" t="s">
        <v>223</v>
      </c>
      <c r="E8" s="7" t="s">
        <v>224</v>
      </c>
      <c r="F8" s="7" t="s">
        <v>225</v>
      </c>
      <c r="G8" s="7" t="s">
        <v>226</v>
      </c>
      <c r="H8" s="40" t="s">
        <v>227</v>
      </c>
      <c r="I8" s="7" t="s">
        <v>228</v>
      </c>
      <c r="J8" s="7" t="s">
        <v>229</v>
      </c>
      <c r="K8" s="6" t="s">
        <v>230</v>
      </c>
      <c r="L8" s="7" t="s">
        <v>231</v>
      </c>
    </row>
    <row r="9" customFormat="false" ht="27.75" hidden="false" customHeight="true" outlineLevel="0" collapsed="false">
      <c r="B9" s="68" t="str">
        <f aca="false">'2. Supplier Master'!B5</f>
        <v>Bosch GmbH</v>
      </c>
      <c r="C9" s="30" t="str">
        <f aca="false">'2. Supplier Master'!C5</f>
        <v>Europe</v>
      </c>
      <c r="D9" s="30" t="str">
        <f aca="false">'2. Supplier Master'!D5</f>
        <v>Tier 1</v>
      </c>
      <c r="E9" s="30" t="str">
        <f aca="false">'2. Supplier Master'!G5</f>
        <v>a.muller@bosch.com</v>
      </c>
      <c r="F9" s="12" t="s">
        <v>232</v>
      </c>
      <c r="G9" s="12" t="s">
        <v>233</v>
      </c>
      <c r="H9" s="69" t="s">
        <v>216</v>
      </c>
      <c r="I9" s="19" t="n">
        <f aca="true">IFERROR(TODAY()-DATEVALUE(F9),"")</f>
        <v>8</v>
      </c>
      <c r="J9" s="70" t="n">
        <f aca="true">IFERROR(DATEVALUE(G9)-TODAY(),"")</f>
        <v>21</v>
      </c>
      <c r="K9" s="64" t="str">
        <f aca="true">IF(H9="Responded","✓ Clear",IF(H9="Escalated","⚠ ESCALATED — ACT NOW",IF(IFERROR(TODAY()-DATEVALUE(F9),0)&gt;=IFERROR(VALUE(LEFT('2. Supplier Master'!K5,FIND(" ",'2. Supplier Master'!K5)-1)),30),"⚠ Overdue — Escalate now","Monitoring")))</f>
        <v>✓ Clear</v>
      </c>
      <c r="L9" s="34"/>
    </row>
    <row r="10" customFormat="false" ht="27.75" hidden="false" customHeight="true" outlineLevel="0" collapsed="false">
      <c r="B10" s="68" t="str">
        <f aca="false">'2. Supplier Master'!B6</f>
        <v>BorgWarner</v>
      </c>
      <c r="C10" s="30" t="str">
        <f aca="false">'2. Supplier Master'!C6</f>
        <v>N. America</v>
      </c>
      <c r="D10" s="30" t="str">
        <f aca="false">'2. Supplier Master'!D6</f>
        <v>Tier 1</v>
      </c>
      <c r="E10" s="30" t="str">
        <f aca="false">'2. Supplier Master'!G6</f>
        <v>s.hunt@borgwarner.com</v>
      </c>
      <c r="F10" s="12" t="s">
        <v>232</v>
      </c>
      <c r="G10" s="12" t="s">
        <v>233</v>
      </c>
      <c r="H10" s="69" t="s">
        <v>216</v>
      </c>
      <c r="I10" s="19" t="n">
        <f aca="true">IFERROR(TODAY()-DATEVALUE(F10),"")</f>
        <v>8</v>
      </c>
      <c r="J10" s="70" t="n">
        <f aca="true">IFERROR(DATEVALUE(G10)-TODAY(),"")</f>
        <v>21</v>
      </c>
      <c r="K10" s="64" t="str">
        <f aca="true">IF(H10="Responded","✓ Clear",IF(H10="Escalated","⚠ ESCALATED — ACT NOW",IF(IFERROR(TODAY()-DATEVALUE(F10),0)&gt;=IFERROR(VALUE(LEFT('2. Supplier Master'!K6,FIND(" ",'2. Supplier Master'!K6)-1)),30),"⚠ Overdue — Escalate now","Monitoring")))</f>
        <v>✓ Clear</v>
      </c>
      <c r="L10" s="34"/>
    </row>
    <row r="11" customFormat="false" ht="27.75" hidden="false" customHeight="true" outlineLevel="0" collapsed="false">
      <c r="B11" s="68" t="str">
        <f aca="false">'2. Supplier Master'!B7</f>
        <v>Gentex Corporation</v>
      </c>
      <c r="C11" s="30" t="str">
        <f aca="false">'2. Supplier Master'!C7</f>
        <v>N. America</v>
      </c>
      <c r="D11" s="30" t="str">
        <f aca="false">'2. Supplier Master'!D7</f>
        <v>Tier 1</v>
      </c>
      <c r="E11" s="30" t="str">
        <f aca="false">'2. Supplier Master'!G7</f>
        <v>m.johnson@gentex.com</v>
      </c>
      <c r="F11" s="12" t="s">
        <v>232</v>
      </c>
      <c r="G11" s="12" t="s">
        <v>233</v>
      </c>
      <c r="H11" s="69" t="s">
        <v>216</v>
      </c>
      <c r="I11" s="19" t="n">
        <f aca="true">IFERROR(TODAY()-DATEVALUE(F11),"")</f>
        <v>8</v>
      </c>
      <c r="J11" s="70" t="n">
        <f aca="true">IFERROR(DATEVALUE(G11)-TODAY(),"")</f>
        <v>21</v>
      </c>
      <c r="K11" s="64" t="str">
        <f aca="true">IF(H11="Responded","✓ Clear",IF(H11="Escalated","⚠ ESCALATED — ACT NOW",IF(IFERROR(TODAY()-DATEVALUE(F11),0)&gt;=IFERROR(VALUE(LEFT('2. Supplier Master'!K7,FIND(" ",'2. Supplier Master'!K7)-1)),30),"⚠ Overdue — Escalate now","Monitoring")))</f>
        <v>✓ Clear</v>
      </c>
      <c r="L11" s="34"/>
    </row>
    <row r="12" customFormat="false" ht="27.75" hidden="false" customHeight="true" outlineLevel="0" collapsed="false">
      <c r="B12" s="68" t="str">
        <f aca="false">'2. Supplier Master'!B8</f>
        <v>Magna International</v>
      </c>
      <c r="C12" s="30" t="str">
        <f aca="false">'2. Supplier Master'!C8</f>
        <v>N. America</v>
      </c>
      <c r="D12" s="30" t="str">
        <f aca="false">'2. Supplier Master'!D8</f>
        <v>Tier 1</v>
      </c>
      <c r="E12" s="30" t="str">
        <f aca="false">'2. Supplier Master'!G8</f>
        <v>j.smith@magna.com</v>
      </c>
      <c r="F12" s="12" t="s">
        <v>232</v>
      </c>
      <c r="G12" s="12" t="s">
        <v>233</v>
      </c>
      <c r="H12" s="69" t="s">
        <v>216</v>
      </c>
      <c r="I12" s="19" t="n">
        <f aca="true">IFERROR(TODAY()-DATEVALUE(F12),"")</f>
        <v>8</v>
      </c>
      <c r="J12" s="70" t="n">
        <f aca="true">IFERROR(DATEVALUE(G12)-TODAY(),"")</f>
        <v>21</v>
      </c>
      <c r="K12" s="64" t="str">
        <f aca="true">IF(H12="Responded","✓ Clear",IF(H12="Escalated","⚠ ESCALATED — ACT NOW",IF(IFERROR(TODAY()-DATEVALUE(F12),0)&gt;=IFERROR(VALUE(LEFT('2. Supplier Master'!K8,FIND(" ",'2. Supplier Master'!K8)-1)),30),"⚠ Overdue — Escalate now","Monitoring")))</f>
        <v>✓ Clear</v>
      </c>
      <c r="L12" s="34"/>
    </row>
    <row r="13" customFormat="false" ht="27.75" hidden="false" customHeight="true" outlineLevel="0" collapsed="false">
      <c r="B13" s="68" t="str">
        <f aca="false">'2. Supplier Master'!B9</f>
        <v>Aptiv PLC</v>
      </c>
      <c r="C13" s="30" t="str">
        <f aca="false">'2. Supplier Master'!C9</f>
        <v>Europe</v>
      </c>
      <c r="D13" s="30" t="str">
        <f aca="false">'2. Supplier Master'!D9</f>
        <v>Tier 1</v>
      </c>
      <c r="E13" s="30" t="str">
        <f aca="false">'2. Supplier Master'!G9</f>
        <v>j.obrien@aptiv.com</v>
      </c>
      <c r="F13" s="12" t="s">
        <v>232</v>
      </c>
      <c r="G13" s="12" t="s">
        <v>233</v>
      </c>
      <c r="H13" s="71" t="s">
        <v>110</v>
      </c>
      <c r="I13" s="17" t="n">
        <f aca="true">IFERROR(TODAY()-DATEVALUE(F13),"")</f>
        <v>8</v>
      </c>
      <c r="J13" s="70" t="n">
        <f aca="true">IFERROR(DATEVALUE(G13)-TODAY(),"")</f>
        <v>21</v>
      </c>
      <c r="K13" s="72" t="str">
        <f aca="true">IF(H13="Responded","✓ Clear",IF(H13="Escalated","⚠ ESCALATED — ACT NOW",IF(IFERROR(TODAY()-DATEVALUE(F13),0)&gt;=IFERROR(VALUE(LEFT('2. Supplier Master'!K9,FIND(" ",'2. Supplier Master'!K9)-1)),30),"⚠ Overdue — Escalate now","Monitoring")))</f>
        <v>Monitoring</v>
      </c>
      <c r="L13" s="34" t="s">
        <v>234</v>
      </c>
    </row>
    <row r="14" customFormat="false" ht="27.75" hidden="false" customHeight="true" outlineLevel="0" collapsed="false">
      <c r="B14" s="68" t="str">
        <f aca="false">'2. Supplier Master'!B10</f>
        <v>Yanfeng Automotive</v>
      </c>
      <c r="C14" s="30" t="str">
        <f aca="false">'2. Supplier Master'!C10</f>
        <v>Europe</v>
      </c>
      <c r="D14" s="30" t="str">
        <f aca="false">'2. Supplier Master'!D10</f>
        <v>Tier 1</v>
      </c>
      <c r="E14" s="30" t="str">
        <f aca="false">'2. Supplier Master'!G10</f>
        <v>p.dupont@yanfeng.com</v>
      </c>
      <c r="F14" s="12" t="s">
        <v>232</v>
      </c>
      <c r="G14" s="12" t="s">
        <v>233</v>
      </c>
      <c r="H14" s="69" t="s">
        <v>216</v>
      </c>
      <c r="I14" s="19" t="n">
        <f aca="true">IFERROR(TODAY()-DATEVALUE(F14),"")</f>
        <v>8</v>
      </c>
      <c r="J14" s="70" t="n">
        <f aca="true">IFERROR(DATEVALUE(G14)-TODAY(),"")</f>
        <v>21</v>
      </c>
      <c r="K14" s="64" t="str">
        <f aca="true">IF(H14="Responded","✓ Clear",IF(H14="Escalated","⚠ ESCALATED — ACT NOW",IF(IFERROR(TODAY()-DATEVALUE(F14),0)&gt;=IFERROR(VALUE(LEFT('2. Supplier Master'!K10,FIND(" ",'2. Supplier Master'!K10)-1)),30),"⚠ Overdue — Escalate now","Monitoring")))</f>
        <v>✓ Clear</v>
      </c>
      <c r="L14" s="34"/>
    </row>
    <row r="15" customFormat="false" ht="27.75" hidden="false" customHeight="true" outlineLevel="0" collapsed="false">
      <c r="B15" s="68" t="str">
        <f aca="false">'2. Supplier Master'!B11</f>
        <v>Lear Corporation</v>
      </c>
      <c r="C15" s="30" t="str">
        <f aca="false">'2. Supplier Master'!C11</f>
        <v>N. America</v>
      </c>
      <c r="D15" s="30" t="str">
        <f aca="false">'2. Supplier Master'!D11</f>
        <v>Tier 1</v>
      </c>
      <c r="E15" s="30" t="str">
        <f aca="false">'2. Supplier Master'!G11</f>
        <v>t.bradley@lear.com</v>
      </c>
      <c r="F15" s="12" t="s">
        <v>232</v>
      </c>
      <c r="G15" s="12" t="s">
        <v>233</v>
      </c>
      <c r="H15" s="69" t="s">
        <v>216</v>
      </c>
      <c r="I15" s="19" t="n">
        <f aca="true">IFERROR(TODAY()-DATEVALUE(F15),"")</f>
        <v>8</v>
      </c>
      <c r="J15" s="70" t="n">
        <f aca="true">IFERROR(DATEVALUE(G15)-TODAY(),"")</f>
        <v>21</v>
      </c>
      <c r="K15" s="64" t="str">
        <f aca="true">IF(H15="Responded","✓ Clear",IF(H15="Escalated","⚠ ESCALATED — ACT NOW",IF(IFERROR(TODAY()-DATEVALUE(F15),0)&gt;=IFERROR(VALUE(LEFT('2. Supplier Master'!K11,FIND(" ",'2. Supplier Master'!K11)-1)),30),"⚠ Overdue — Escalate now","Monitoring")))</f>
        <v>✓ Clear</v>
      </c>
      <c r="L15" s="34"/>
    </row>
    <row r="16" customFormat="false" ht="27.75" hidden="false" customHeight="true" outlineLevel="0" collapsed="false">
      <c r="B16" s="68" t="str">
        <f aca="false">'2. Supplier Master'!B12</f>
        <v>Grupo Antolin</v>
      </c>
      <c r="C16" s="30" t="str">
        <f aca="false">'2. Supplier Master'!C12</f>
        <v>Mexico</v>
      </c>
      <c r="D16" s="30" t="str">
        <f aca="false">'2. Supplier Master'!D12</f>
        <v>Tier 1</v>
      </c>
      <c r="E16" s="30" t="str">
        <f aca="false">'2. Supplier Master'!G12</f>
        <v>c.diaz@antolin.com</v>
      </c>
      <c r="F16" s="12" t="s">
        <v>232</v>
      </c>
      <c r="G16" s="12" t="s">
        <v>233</v>
      </c>
      <c r="H16" s="69" t="s">
        <v>216</v>
      </c>
      <c r="I16" s="19" t="n">
        <f aca="true">IFERROR(TODAY()-DATEVALUE(F16),"")</f>
        <v>8</v>
      </c>
      <c r="J16" s="70" t="n">
        <f aca="true">IFERROR(DATEVALUE(G16)-TODAY(),"")</f>
        <v>21</v>
      </c>
      <c r="K16" s="64" t="str">
        <f aca="true">IF(H16="Responded","✓ Clear",IF(H16="Escalated","⚠ ESCALATED — ACT NOW",IF(IFERROR(TODAY()-DATEVALUE(F16),0)&gt;=IFERROR(VALUE(LEFT('2. Supplier Master'!K12,FIND(" ",'2. Supplier Master'!K12)-1)),30),"⚠ Overdue — Escalate now","Monitoring")))</f>
        <v>✓ Clear</v>
      </c>
      <c r="L16" s="34"/>
    </row>
    <row r="17" customFormat="false" ht="27.75" hidden="false" customHeight="true" outlineLevel="0" collapsed="false">
      <c r="B17" s="68" t="str">
        <f aca="false">'2. Supplier Master'!B13</f>
        <v>Motherson Group</v>
      </c>
      <c r="C17" s="30" t="str">
        <f aca="false">'2. Supplier Master'!C13</f>
        <v>India</v>
      </c>
      <c r="D17" s="30" t="str">
        <f aca="false">'2. Supplier Master'!D13</f>
        <v>Tier 1</v>
      </c>
      <c r="E17" s="30" t="str">
        <f aca="false">'2. Supplier Master'!G13</f>
        <v>r.verma@motherson.com</v>
      </c>
      <c r="F17" s="12" t="s">
        <v>232</v>
      </c>
      <c r="G17" s="12" t="s">
        <v>233</v>
      </c>
      <c r="H17" s="71" t="s">
        <v>110</v>
      </c>
      <c r="I17" s="17" t="n">
        <f aca="true">IFERROR(TODAY()-DATEVALUE(F17),"")</f>
        <v>8</v>
      </c>
      <c r="J17" s="70" t="n">
        <f aca="true">IFERROR(DATEVALUE(G17)-TODAY(),"")</f>
        <v>21</v>
      </c>
      <c r="K17" s="72" t="str">
        <f aca="true">IF(H17="Responded","✓ Clear",IF(H17="Escalated","⚠ ESCALATED — ACT NOW",IF(IFERROR(TODAY()-DATEVALUE(F17),0)&gt;=IFERROR(VALUE(LEFT('2. Supplier Master'!K13,FIND(" ",'2. Supplier Master'!K13)-1)),30),"⚠ Overdue — Escalate now","Monitoring")))</f>
        <v>Monitoring</v>
      </c>
      <c r="L17" s="34" t="s">
        <v>235</v>
      </c>
    </row>
    <row r="18" customFormat="false" ht="27.75" hidden="false" customHeight="true" outlineLevel="0" collapsed="false">
      <c r="B18" s="68" t="str">
        <f aca="false">'2. Supplier Master'!B14</f>
        <v>Adient</v>
      </c>
      <c r="C18" s="30" t="str">
        <f aca="false">'2. Supplier Master'!C14</f>
        <v>N. America</v>
      </c>
      <c r="D18" s="30" t="str">
        <f aca="false">'2. Supplier Master'!D14</f>
        <v>Tier 1</v>
      </c>
      <c r="E18" s="30" t="str">
        <f aca="false">'2. Supplier Master'!G14</f>
        <v>r.green@adient.com</v>
      </c>
      <c r="F18" s="12" t="s">
        <v>232</v>
      </c>
      <c r="G18" s="12" t="s">
        <v>233</v>
      </c>
      <c r="H18" s="69" t="s">
        <v>216</v>
      </c>
      <c r="I18" s="19" t="n">
        <f aca="true">IFERROR(TODAY()-DATEVALUE(F18),"")</f>
        <v>8</v>
      </c>
      <c r="J18" s="70" t="n">
        <f aca="true">IFERROR(DATEVALUE(G18)-TODAY(),"")</f>
        <v>21</v>
      </c>
      <c r="K18" s="64" t="str">
        <f aca="true">IF(H18="Responded","✓ Clear",IF(H18="Escalated","⚠ ESCALATED — ACT NOW",IF(IFERROR(TODAY()-DATEVALUE(F18),0)&gt;=IFERROR(VALUE(LEFT('2. Supplier Master'!K14,FIND(" ",'2. Supplier Master'!K14)-1)),30),"⚠ Overdue — Escalate now","Monitoring")))</f>
        <v>✓ Clear</v>
      </c>
      <c r="L18" s="34"/>
    </row>
    <row r="19" customFormat="false" ht="27.75" hidden="false" customHeight="true" outlineLevel="0" collapsed="false">
      <c r="B19" s="68" t="str">
        <f aca="false">'2. Supplier Master'!B15</f>
        <v>Tata Steel</v>
      </c>
      <c r="C19" s="30" t="str">
        <f aca="false">'2. Supplier Master'!C15</f>
        <v>India</v>
      </c>
      <c r="D19" s="30" t="str">
        <f aca="false">'2. Supplier Master'!D15</f>
        <v>Tier 2</v>
      </c>
      <c r="E19" s="30" t="str">
        <f aca="false">'2. Supplier Master'!G15</f>
        <v>r.patel@tata.com</v>
      </c>
      <c r="F19" s="12" t="s">
        <v>232</v>
      </c>
      <c r="G19" s="12" t="s">
        <v>233</v>
      </c>
      <c r="H19" s="71" t="s">
        <v>110</v>
      </c>
      <c r="I19" s="17" t="n">
        <f aca="true">IFERROR(TODAY()-DATEVALUE(F19),"")</f>
        <v>8</v>
      </c>
      <c r="J19" s="70" t="n">
        <f aca="true">IFERROR(DATEVALUE(G19)-TODAY(),"")</f>
        <v>21</v>
      </c>
      <c r="K19" s="72" t="str">
        <f aca="true">IF(H19="Responded","✓ Clear",IF(H19="Escalated","⚠ ESCALATED — ACT NOW",IF(IFERROR(TODAY()-DATEVALUE(F19),0)&gt;=IFERROR(VALUE(LEFT('2. Supplier Master'!K15,FIND(" ",'2. Supplier Master'!K15)-1)),30),"⚠ Overdue — Escalate now","Monitoring")))</f>
        <v>Monitoring</v>
      </c>
      <c r="L19" s="34" t="s">
        <v>235</v>
      </c>
    </row>
    <row r="20" customFormat="false" ht="27.75" hidden="false" customHeight="true" outlineLevel="0" collapsed="false">
      <c r="B20" s="68" t="str">
        <f aca="false">'2. Supplier Master'!B16</f>
        <v>Minda Industries</v>
      </c>
      <c r="C20" s="30" t="str">
        <f aca="false">'2. Supplier Master'!C16</f>
        <v>India</v>
      </c>
      <c r="D20" s="30" t="str">
        <f aca="false">'2. Supplier Master'!D16</f>
        <v>Tier 2</v>
      </c>
      <c r="E20" s="30" t="str">
        <f aca="false">'2. Supplier Master'!G16</f>
        <v>a.kumar@minda.com</v>
      </c>
      <c r="F20" s="12" t="s">
        <v>232</v>
      </c>
      <c r="G20" s="12" t="s">
        <v>233</v>
      </c>
      <c r="H20" s="71" t="s">
        <v>110</v>
      </c>
      <c r="I20" s="17" t="n">
        <f aca="true">IFERROR(TODAY()-DATEVALUE(F20),"")</f>
        <v>8</v>
      </c>
      <c r="J20" s="70" t="n">
        <f aca="true">IFERROR(DATEVALUE(G20)-TODAY(),"")</f>
        <v>21</v>
      </c>
      <c r="K20" s="72" t="str">
        <f aca="true">IF(H20="Responded","✓ Clear",IF(H20="Escalated","⚠ ESCALATED — ACT NOW",IF(IFERROR(TODAY()-DATEVALUE(F20),0)&gt;=IFERROR(VALUE(LEFT('2. Supplier Master'!K16,FIND(" ",'2. Supplier Master'!K16)-1)),30),"⚠ Overdue — Escalate now","Monitoring")))</f>
        <v>Monitoring</v>
      </c>
      <c r="L20" s="34" t="s">
        <v>236</v>
      </c>
    </row>
    <row r="21" customFormat="false" ht="27.75" hidden="false" customHeight="true" outlineLevel="0" collapsed="false">
      <c r="B21" s="68" t="str">
        <f aca="false">'2. Supplier Master'!B17</f>
        <v>Webasto</v>
      </c>
      <c r="C21" s="30" t="str">
        <f aca="false">'2. Supplier Master'!C17</f>
        <v>Europe</v>
      </c>
      <c r="D21" s="30" t="str">
        <f aca="false">'2. Supplier Master'!D17</f>
        <v>Tier 2</v>
      </c>
      <c r="E21" s="30" t="str">
        <f aca="false">'2. Supplier Master'!G17</f>
        <v>h.becker@webasto.com</v>
      </c>
      <c r="F21" s="12" t="s">
        <v>232</v>
      </c>
      <c r="G21" s="12" t="s">
        <v>233</v>
      </c>
      <c r="H21" s="69" t="s">
        <v>216</v>
      </c>
      <c r="I21" s="19" t="n">
        <f aca="true">IFERROR(TODAY()-DATEVALUE(F21),"")</f>
        <v>8</v>
      </c>
      <c r="J21" s="70" t="n">
        <f aca="true">IFERROR(DATEVALUE(G21)-TODAY(),"")</f>
        <v>21</v>
      </c>
      <c r="K21" s="64" t="str">
        <f aca="true">IF(H21="Responded","✓ Clear",IF(H21="Escalated","⚠ ESCALATED — ACT NOW",IF(IFERROR(TODAY()-DATEVALUE(F21),0)&gt;=IFERROR(VALUE(LEFT('2. Supplier Master'!K17,FIND(" ",'2. Supplier Master'!K17)-1)),30),"⚠ Overdue — Escalate now","Monitoring")))</f>
        <v>✓ Clear</v>
      </c>
      <c r="L21" s="34"/>
    </row>
    <row r="22" customFormat="false" ht="27.75" hidden="false" customHeight="true" outlineLevel="0" collapsed="false">
      <c r="B22" s="68" t="str">
        <f aca="false">'2. Supplier Master'!B18</f>
        <v>Foshan Manufacturing</v>
      </c>
      <c r="C22" s="30" t="str">
        <f aca="false">'2. Supplier Master'!C18</f>
        <v>Asia Pacific</v>
      </c>
      <c r="D22" s="30" t="str">
        <f aca="false">'2. Supplier Master'!D18</f>
        <v>Tier 2</v>
      </c>
      <c r="E22" s="30" t="str">
        <f aca="false">'2. Supplier Master'!G18</f>
        <v>⚠ MISSING — update urgently</v>
      </c>
      <c r="F22" s="12" t="s">
        <v>232</v>
      </c>
      <c r="G22" s="12" t="s">
        <v>233</v>
      </c>
      <c r="H22" s="73" t="s">
        <v>217</v>
      </c>
      <c r="I22" s="13" t="n">
        <f aca="true">IFERROR(TODAY()-DATEVALUE(F22),"")</f>
        <v>8</v>
      </c>
      <c r="J22" s="70" t="n">
        <f aca="true">IFERROR(DATEVALUE(G22)-TODAY(),"")</f>
        <v>21</v>
      </c>
      <c r="K22" s="66" t="str">
        <f aca="true">IF(H22="Responded","✓ Clear",IF(H22="Escalated","⚠ ESCALATED — ACT NOW",IF(IFERROR(TODAY()-DATEVALUE(F22),0)&gt;=IFERROR(VALUE(LEFT('2. Supplier Master'!K18,FIND(" ",'2. Supplier Master'!K18)-1)),30),"⚠ Overdue — Escalate now","Monitoring")))</f>
        <v>⚠ ESCALATED — ACT NOW</v>
      </c>
      <c r="L22" s="34" t="s">
        <v>237</v>
      </c>
    </row>
    <row r="23" customFormat="false" ht="27.75" hidden="false" customHeight="true" outlineLevel="0" collapsed="false">
      <c r="B23" s="68" t="str">
        <f aca="false">'2. Supplier Master'!B19</f>
        <v>Zhejiang Components</v>
      </c>
      <c r="C23" s="30" t="str">
        <f aca="false">'2. Supplier Master'!C19</f>
        <v>Asia Pacific</v>
      </c>
      <c r="D23" s="30" t="str">
        <f aca="false">'2. Supplier Master'!D19</f>
        <v>Tier 2</v>
      </c>
      <c r="E23" s="30" t="str">
        <f aca="false">'2. Supplier Master'!G19</f>
        <v>c.li@zhejiang.com</v>
      </c>
      <c r="F23" s="12" t="s">
        <v>232</v>
      </c>
      <c r="G23" s="12" t="s">
        <v>233</v>
      </c>
      <c r="H23" s="73" t="s">
        <v>217</v>
      </c>
      <c r="I23" s="13" t="n">
        <f aca="true">IFERROR(TODAY()-DATEVALUE(F23),"")</f>
        <v>8</v>
      </c>
      <c r="J23" s="70" t="n">
        <f aca="true">IFERROR(DATEVALUE(G23)-TODAY(),"")</f>
        <v>21</v>
      </c>
      <c r="K23" s="66" t="str">
        <f aca="true">IF(H23="Responded","✓ Clear",IF(H23="Escalated","⚠ ESCALATED — ACT NOW",IF(IFERROR(TODAY()-DATEVALUE(F23),0)&gt;=IFERROR(VALUE(LEFT('2. Supplier Master'!K19,FIND(" ",'2. Supplier Master'!K19)-1)),30),"⚠ Overdue — Escalate now","Monitoring")))</f>
        <v>⚠ ESCALATED — ACT NOW</v>
      </c>
      <c r="L23" s="34" t="s">
        <v>238</v>
      </c>
    </row>
  </sheetData>
  <mergeCells count="2">
    <mergeCell ref="B1:L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13"/>
    <col collapsed="false" customWidth="true" hidden="false" outlineLevel="0" max="4" min="4" style="1" width="10"/>
    <col collapsed="false" customWidth="true" hidden="false" outlineLevel="0" max="5" min="5" style="1" width="14"/>
    <col collapsed="false" customWidth="true" hidden="false" outlineLevel="0" max="6" min="6" style="1" width="22"/>
    <col collapsed="false" customWidth="true" hidden="false" outlineLevel="0" max="7" min="7" style="1" width="14"/>
    <col collapsed="false" customWidth="true" hidden="false" outlineLevel="0" max="8" min="8" style="1" width="18"/>
    <col collapsed="false" customWidth="true" hidden="false" outlineLevel="0" max="10" min="9" style="1" width="22"/>
    <col collapsed="false" customWidth="true" hidden="false" outlineLevel="0" max="11" min="11" style="1" width="2"/>
  </cols>
  <sheetData>
    <row r="1" customFormat="false" ht="31.5" hidden="false" customHeight="true" outlineLevel="0" collapsed="false">
      <c r="A1" s="2"/>
      <c r="B1" s="3" t="s">
        <v>239</v>
      </c>
      <c r="C1" s="3"/>
      <c r="D1" s="3"/>
      <c r="E1" s="3"/>
      <c r="F1" s="3"/>
      <c r="G1" s="3"/>
      <c r="H1" s="3"/>
      <c r="I1" s="3"/>
      <c r="J1" s="3"/>
    </row>
    <row r="2" customFormat="false" ht="15.75" hidden="false" customHeight="true" outlineLevel="0" collapsed="false">
      <c r="B2" s="74" t="s">
        <v>240</v>
      </c>
      <c r="C2" s="74"/>
      <c r="D2" s="74"/>
      <c r="E2" s="74"/>
      <c r="F2" s="74"/>
      <c r="G2" s="74"/>
      <c r="H2" s="74"/>
      <c r="I2" s="74"/>
      <c r="J2" s="74"/>
      <c r="K2" s="74"/>
      <c r="L2" s="74"/>
      <c r="M2" s="74"/>
      <c r="N2" s="74"/>
    </row>
    <row r="3" customFormat="false" ht="6" hidden="false" customHeight="true" outlineLevel="0" collapsed="false"/>
    <row r="4" customFormat="false" ht="36" hidden="false" customHeight="true" outlineLevel="0" collapsed="false">
      <c r="B4" s="40" t="s">
        <v>3</v>
      </c>
      <c r="C4" s="7" t="s">
        <v>4</v>
      </c>
      <c r="D4" s="7" t="s">
        <v>5</v>
      </c>
      <c r="E4" s="40" t="s">
        <v>241</v>
      </c>
      <c r="F4" s="7" t="s">
        <v>242</v>
      </c>
      <c r="G4" s="40" t="s">
        <v>243</v>
      </c>
      <c r="H4" s="8" t="s">
        <v>244</v>
      </c>
      <c r="I4" s="8" t="s">
        <v>245</v>
      </c>
      <c r="J4" s="40" t="s">
        <v>246</v>
      </c>
      <c r="K4" s="7" t="s">
        <v>247</v>
      </c>
    </row>
    <row r="5" customFormat="false" ht="54.75" hidden="false" customHeight="true" outlineLevel="0" collapsed="false">
      <c r="B5" s="75" t="str">
        <f aca="false">'4. Campaign Tracker'!B22</f>
        <v>Foshan Manufacturing</v>
      </c>
      <c r="C5" s="30" t="str">
        <f aca="false">'4. Campaign Tracker'!C22</f>
        <v>Asia Pacific</v>
      </c>
      <c r="D5" s="30" t="str">
        <f aca="false">'4. Campaign Tracker'!D22</f>
        <v>Tier 2</v>
      </c>
      <c r="E5" s="76" t="s">
        <v>248</v>
      </c>
      <c r="F5" s="77" t="str">
        <f aca="false">'2. Supplier Master'!G18</f>
        <v>⚠ MISSING — update urgently</v>
      </c>
      <c r="G5" s="13" t="n">
        <f aca="false">'4. Campaign Tracker'!I22</f>
        <v>8</v>
      </c>
      <c r="H5" s="31" t="s">
        <v>249</v>
      </c>
      <c r="I5" s="78" t="s">
        <v>250</v>
      </c>
      <c r="J5" s="76" t="s">
        <v>251</v>
      </c>
      <c r="K5" s="78" t="s">
        <v>252</v>
      </c>
    </row>
    <row r="6" customFormat="false" ht="54.75" hidden="false" customHeight="true" outlineLevel="0" collapsed="false">
      <c r="B6" s="75" t="str">
        <f aca="false">'4. Campaign Tracker'!B23</f>
        <v>Zhejiang Components</v>
      </c>
      <c r="C6" s="30" t="str">
        <f aca="false">'4. Campaign Tracker'!C23</f>
        <v>Asia Pacific</v>
      </c>
      <c r="D6" s="30" t="str">
        <f aca="false">'4. Campaign Tracker'!D23</f>
        <v>Tier 2</v>
      </c>
      <c r="E6" s="76" t="s">
        <v>253</v>
      </c>
      <c r="F6" s="77" t="str">
        <f aca="false">'2. Supplier Master'!G19</f>
        <v>c.li@zhejiang.com</v>
      </c>
      <c r="G6" s="13" t="n">
        <f aca="false">'4. Campaign Tracker'!I23</f>
        <v>8</v>
      </c>
      <c r="H6" s="31" t="s">
        <v>249</v>
      </c>
      <c r="I6" s="78" t="s">
        <v>254</v>
      </c>
      <c r="J6" s="76" t="s">
        <v>255</v>
      </c>
      <c r="K6" s="78" t="s">
        <v>256</v>
      </c>
    </row>
  </sheetData>
  <mergeCells count="2">
    <mergeCell ref="B1:J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14" min="2" style="1" width="13"/>
    <col collapsed="false" customWidth="true" hidden="false" outlineLevel="0" max="15" min="15" style="1" width="2"/>
  </cols>
  <sheetData>
    <row r="1" customFormat="false" ht="31.5" hidden="false" customHeight="true" outlineLevel="0" collapsed="false">
      <c r="A1" s="2"/>
      <c r="B1" s="3" t="s">
        <v>257</v>
      </c>
      <c r="C1" s="3"/>
      <c r="D1" s="3"/>
      <c r="E1" s="3"/>
      <c r="F1" s="3"/>
      <c r="G1" s="3"/>
      <c r="H1" s="3"/>
      <c r="I1" s="3"/>
      <c r="J1" s="3"/>
      <c r="K1" s="3"/>
      <c r="L1" s="3"/>
      <c r="M1" s="3"/>
      <c r="N1" s="3"/>
    </row>
    <row r="2" customFormat="false" ht="15.75" hidden="false" customHeight="true" outlineLevel="0" collapsed="false">
      <c r="B2" s="29" t="s">
        <v>258</v>
      </c>
      <c r="C2" s="29"/>
      <c r="D2" s="29"/>
      <c r="E2" s="29"/>
      <c r="F2" s="29"/>
      <c r="G2" s="29"/>
      <c r="H2" s="29"/>
      <c r="I2" s="29"/>
      <c r="J2" s="29"/>
      <c r="K2" s="29"/>
      <c r="L2" s="29"/>
      <c r="M2" s="29"/>
      <c r="N2" s="29"/>
    </row>
    <row r="3" customFormat="false" ht="6" hidden="false" customHeight="true" outlineLevel="0" collapsed="false"/>
    <row r="4" customFormat="false" ht="13.5" hidden="false" customHeight="true" outlineLevel="0" collapsed="false">
      <c r="B4" s="79" t="s">
        <v>259</v>
      </c>
      <c r="C4" s="79"/>
      <c r="D4" s="79" t="s">
        <v>216</v>
      </c>
      <c r="E4" s="79"/>
      <c r="F4" s="79" t="s">
        <v>110</v>
      </c>
      <c r="G4" s="79"/>
      <c r="H4" s="79" t="s">
        <v>217</v>
      </c>
      <c r="I4" s="79"/>
      <c r="J4" s="79" t="s">
        <v>218</v>
      </c>
      <c r="K4" s="79"/>
    </row>
    <row r="5" customFormat="false" ht="33.75" hidden="false" customHeight="true" outlineLevel="0" collapsed="false">
      <c r="B5" s="80" t="n">
        <f aca="false">'4. Campaign Tracker'!B5</f>
        <v>15</v>
      </c>
      <c r="C5" s="80"/>
      <c r="D5" s="81" t="n">
        <f aca="false">'4. Campaign Tracker'!C5</f>
        <v>9</v>
      </c>
      <c r="E5" s="81"/>
      <c r="F5" s="82" t="n">
        <f aca="false">'4. Campaign Tracker'!D5</f>
        <v>4</v>
      </c>
      <c r="G5" s="82"/>
      <c r="H5" s="83" t="n">
        <f aca="false">'4. Campaign Tracker'!E5</f>
        <v>2</v>
      </c>
      <c r="I5" s="83"/>
      <c r="J5" s="84" t="n">
        <f aca="false">'4. Campaign Tracker'!F5</f>
        <v>0.6</v>
      </c>
      <c r="K5" s="84"/>
    </row>
    <row r="6" customFormat="false" ht="19.5" hidden="false" customHeight="true" outlineLevel="0" collapsed="false">
      <c r="B6" s="85"/>
      <c r="C6" s="85"/>
      <c r="D6" s="86"/>
      <c r="E6" s="86"/>
      <c r="F6" s="87"/>
      <c r="G6" s="87"/>
      <c r="H6" s="88"/>
      <c r="I6" s="88"/>
      <c r="J6" s="89"/>
      <c r="K6" s="89"/>
    </row>
    <row r="7" customFormat="false" ht="7.5" hidden="false" customHeight="true" outlineLevel="0" collapsed="false"/>
    <row r="8" customFormat="false" ht="19.5" hidden="false" customHeight="true" outlineLevel="0" collapsed="false">
      <c r="B8" s="21" t="s">
        <v>260</v>
      </c>
      <c r="C8" s="21"/>
      <c r="D8" s="21"/>
      <c r="E8" s="21"/>
    </row>
    <row r="9" customFormat="false" ht="27.75" hidden="false" customHeight="true" outlineLevel="0" collapsed="false">
      <c r="B9" s="7" t="s">
        <v>4</v>
      </c>
      <c r="C9" s="7" t="s">
        <v>216</v>
      </c>
      <c r="D9" s="7" t="s">
        <v>215</v>
      </c>
      <c r="E9" s="7" t="s">
        <v>261</v>
      </c>
    </row>
    <row r="10" customFormat="false" ht="21.75" hidden="false" customHeight="true" outlineLevel="0" collapsed="false">
      <c r="B10" s="10" t="s">
        <v>30</v>
      </c>
      <c r="C10" s="90" t="n">
        <f aca="false">COUNTIFS('4. Campaign Tracker'!C9:C500,B10,'4. Campaign Tracker'!H9:H500,"Responded")</f>
        <v>5</v>
      </c>
      <c r="D10" s="44" t="n">
        <f aca="false">COUNTIF('4. Campaign Tracker'!C9:C500,B10)</f>
        <v>5</v>
      </c>
      <c r="E10" s="91" t="n">
        <f aca="false">IFERROR(C10/D10,0)</f>
        <v>1</v>
      </c>
    </row>
    <row r="11" customFormat="false" ht="21.75" hidden="false" customHeight="true" outlineLevel="0" collapsed="false">
      <c r="B11" s="10" t="s">
        <v>25</v>
      </c>
      <c r="C11" s="90" t="n">
        <f aca="false">COUNTIFS('4. Campaign Tracker'!C9:C500,B11,'4. Campaign Tracker'!H9:H500,"Responded")</f>
        <v>3</v>
      </c>
      <c r="D11" s="44" t="n">
        <f aca="false">COUNTIF('4. Campaign Tracker'!C9:C500,B11)</f>
        <v>4</v>
      </c>
      <c r="E11" s="91" t="n">
        <f aca="false">IFERROR(C11/D11,0)</f>
        <v>0.75</v>
      </c>
    </row>
    <row r="12" customFormat="false" ht="21.75" hidden="false" customHeight="true" outlineLevel="0" collapsed="false">
      <c r="B12" s="10" t="s">
        <v>46</v>
      </c>
      <c r="C12" s="90" t="n">
        <f aca="false">COUNTIFS('4. Campaign Tracker'!C9:C500,B12,'4. Campaign Tracker'!H9:H500,"Responded")</f>
        <v>0</v>
      </c>
      <c r="D12" s="44" t="n">
        <f aca="false">COUNTIF('4. Campaign Tracker'!C9:C500,B12)</f>
        <v>2</v>
      </c>
      <c r="E12" s="91" t="n">
        <f aca="false">IFERROR(C12/D12,0)</f>
        <v>0</v>
      </c>
    </row>
    <row r="13" customFormat="false" ht="21.75" hidden="false" customHeight="true" outlineLevel="0" collapsed="false">
      <c r="B13" s="10" t="s">
        <v>39</v>
      </c>
      <c r="C13" s="90" t="n">
        <f aca="false">COUNTIFS('4. Campaign Tracker'!C9:C500,B13,'4. Campaign Tracker'!H9:H500,"Responded")</f>
        <v>0</v>
      </c>
      <c r="D13" s="44" t="n">
        <f aca="false">COUNTIF('4. Campaign Tracker'!C9:C500,B13)</f>
        <v>3</v>
      </c>
      <c r="E13" s="91" t="n">
        <f aca="false">IFERROR(C13/D13,0)</f>
        <v>0</v>
      </c>
    </row>
    <row r="14" customFormat="false" ht="21.75" hidden="false" customHeight="true" outlineLevel="0" collapsed="false">
      <c r="B14" s="10" t="s">
        <v>37</v>
      </c>
      <c r="C14" s="90" t="n">
        <f aca="false">COUNTIFS('4. Campaign Tracker'!C9:C500,B14,'4. Campaign Tracker'!H9:H500,"Responded")</f>
        <v>1</v>
      </c>
      <c r="D14" s="44" t="n">
        <f aca="false">COUNTIF('4. Campaign Tracker'!C9:C500,B14)</f>
        <v>1</v>
      </c>
      <c r="E14" s="91" t="n">
        <f aca="false">IFERROR(C14/D14,0)</f>
        <v>1</v>
      </c>
    </row>
    <row r="16" customFormat="false" ht="19.5" hidden="false" customHeight="true" outlineLevel="0" collapsed="false">
      <c r="B16" s="21" t="s">
        <v>262</v>
      </c>
      <c r="C16" s="21"/>
      <c r="D16" s="21"/>
      <c r="E16" s="21"/>
    </row>
    <row r="17" customFormat="false" ht="27.75" hidden="false" customHeight="true" outlineLevel="0" collapsed="false">
      <c r="B17" s="7" t="s">
        <v>5</v>
      </c>
      <c r="C17" s="7" t="s">
        <v>216</v>
      </c>
      <c r="D17" s="7" t="s">
        <v>215</v>
      </c>
      <c r="E17" s="7" t="s">
        <v>261</v>
      </c>
    </row>
    <row r="18" customFormat="false" ht="21.75" hidden="false" customHeight="true" outlineLevel="0" collapsed="false">
      <c r="B18" s="10" t="s">
        <v>26</v>
      </c>
      <c r="C18" s="90" t="n">
        <f aca="false">COUNTIFS('4. Campaign Tracker'!D9:D500,B18,'4. Campaign Tracker'!H9:H500,"Responded")</f>
        <v>8</v>
      </c>
      <c r="D18" s="44" t="n">
        <f aca="false">COUNTIF('4. Campaign Tracker'!D9:D500,B18)</f>
        <v>10</v>
      </c>
      <c r="E18" s="91" t="n">
        <f aca="false">IFERROR(C18/D18,0)</f>
        <v>0.8</v>
      </c>
    </row>
    <row r="19" customFormat="false" ht="21.75" hidden="false" customHeight="true" outlineLevel="0" collapsed="false">
      <c r="B19" s="10" t="s">
        <v>42</v>
      </c>
      <c r="C19" s="90" t="n">
        <f aca="false">COUNTIFS('4. Campaign Tracker'!D9:D500,B19,'4. Campaign Tracker'!H9:H500,"Responded")</f>
        <v>1</v>
      </c>
      <c r="D19" s="44" t="n">
        <f aca="false">COUNTIF('4. Campaign Tracker'!D9:D500,B19)</f>
        <v>5</v>
      </c>
      <c r="E19" s="91" t="n">
        <f aca="false">IFERROR(C19/D19,0)</f>
        <v>0.2</v>
      </c>
    </row>
    <row r="20" customFormat="false" ht="21.75" hidden="false" customHeight="true" outlineLevel="0" collapsed="false">
      <c r="B20" s="10" t="s">
        <v>263</v>
      </c>
      <c r="C20" s="90" t="n">
        <f aca="false">COUNTIFS('4. Campaign Tracker'!D9:D500,B20,'4. Campaign Tracker'!H9:H500,"Responded")</f>
        <v>0</v>
      </c>
      <c r="D20" s="44" t="n">
        <f aca="false">COUNTIF('4. Campaign Tracker'!D9:D500,B20)</f>
        <v>0</v>
      </c>
      <c r="E20" s="91" t="n">
        <f aca="false">IFERROR(C20/D20,0)</f>
        <v>0</v>
      </c>
    </row>
    <row r="22" customFormat="false" ht="19.5" hidden="false" customHeight="true" outlineLevel="0" collapsed="false">
      <c r="G22" s="21" t="s">
        <v>264</v>
      </c>
      <c r="H22" s="21"/>
      <c r="I22" s="21"/>
      <c r="J22" s="21"/>
      <c r="K22" s="21"/>
      <c r="L22" s="21"/>
      <c r="M22" s="21"/>
    </row>
    <row r="23" customFormat="false" ht="27.75" hidden="false" customHeight="true" outlineLevel="0" collapsed="false">
      <c r="G23" s="7" t="s">
        <v>14</v>
      </c>
      <c r="H23" s="7" t="s">
        <v>265</v>
      </c>
      <c r="I23" s="7" t="s">
        <v>216</v>
      </c>
      <c r="J23" s="7" t="s">
        <v>261</v>
      </c>
    </row>
    <row r="24" customFormat="false" ht="21.75" hidden="false" customHeight="true" outlineLevel="0" collapsed="false">
      <c r="G24" s="76" t="s">
        <v>266</v>
      </c>
      <c r="H24" s="92" t="n">
        <f aca="false">COUNTIF('1. REI Prioritization'!M7:M21,G24)</f>
        <v>3</v>
      </c>
      <c r="I24" s="90" t="n">
        <f aca="false">COUNTIFS('4. Campaign Tracker'!H9:H500,"Responded")</f>
        <v>9</v>
      </c>
      <c r="J24" s="91" t="n">
        <f aca="false">IFERROR(I24/H24,0)</f>
        <v>3</v>
      </c>
    </row>
    <row r="25" customFormat="false" ht="21.75" hidden="false" customHeight="true" outlineLevel="0" collapsed="false">
      <c r="G25" s="93" t="s">
        <v>267</v>
      </c>
      <c r="H25" s="92" t="n">
        <f aca="false">COUNTIF('1. REI Prioritization'!M7:M21,G25)</f>
        <v>0</v>
      </c>
      <c r="I25" s="90" t="n">
        <f aca="false">COUNTIFS('4. Campaign Tracker'!H9:H500,"Responded")</f>
        <v>9</v>
      </c>
      <c r="J25" s="91" t="n">
        <f aca="false">IFERROR(I25/H25,0)</f>
        <v>0</v>
      </c>
    </row>
    <row r="26" customFormat="false" ht="21.75" hidden="false" customHeight="true" outlineLevel="0" collapsed="false">
      <c r="G26" s="42" t="s">
        <v>268</v>
      </c>
      <c r="H26" s="92" t="n">
        <f aca="false">COUNTIF('1. REI Prioritization'!M7:M21,G26)</f>
        <v>1</v>
      </c>
      <c r="I26" s="90" t="n">
        <f aca="false">COUNTIFS('4. Campaign Tracker'!H9:H500,"Responded")</f>
        <v>9</v>
      </c>
      <c r="J26" s="91" t="n">
        <f aca="false">IFERROR(I26/H26,0)</f>
        <v>9</v>
      </c>
    </row>
    <row r="27" customFormat="false" ht="21.75" hidden="false" customHeight="true" outlineLevel="0" collapsed="false">
      <c r="G27" s="94" t="s">
        <v>269</v>
      </c>
      <c r="H27" s="92" t="n">
        <f aca="false">COUNTIF('1. REI Prioritization'!M7:M21,G27)</f>
        <v>9</v>
      </c>
      <c r="I27" s="90" t="n">
        <f aca="false">COUNTIFS('4. Campaign Tracker'!H9:H500,"Responded")</f>
        <v>9</v>
      </c>
      <c r="J27" s="91" t="n">
        <f aca="false">IFERROR(I27/H27,0)</f>
        <v>1</v>
      </c>
    </row>
    <row r="28" customFormat="false" ht="21.75" hidden="false" customHeight="true" outlineLevel="0" collapsed="false">
      <c r="G28" s="95" t="s">
        <v>63</v>
      </c>
      <c r="H28" s="92" t="n">
        <f aca="false">COUNTIF('1. REI Prioritization'!M7:M21,G28)</f>
        <v>2</v>
      </c>
      <c r="I28" s="90" t="n">
        <f aca="false">COUNTIFS('4. Campaign Tracker'!H9:H500,"Responded")</f>
        <v>9</v>
      </c>
      <c r="J28" s="91" t="n">
        <f aca="false">IFERROR(I28/H28,0)</f>
        <v>4.5</v>
      </c>
    </row>
    <row r="30" customFormat="false" ht="19.5" hidden="false" customHeight="true" outlineLevel="0" collapsed="false">
      <c r="B30" s="96" t="s">
        <v>270</v>
      </c>
      <c r="C30" s="96"/>
      <c r="D30" s="96"/>
      <c r="E30" s="96"/>
      <c r="F30" s="96"/>
      <c r="G30" s="96"/>
      <c r="H30" s="96"/>
      <c r="I30" s="96"/>
      <c r="J30" s="96"/>
      <c r="K30" s="96"/>
      <c r="L30" s="96"/>
      <c r="M30" s="96"/>
    </row>
    <row r="31" customFormat="false" ht="21.75" hidden="false" customHeight="true" outlineLevel="0" collapsed="false">
      <c r="B31" s="97" t="str">
        <f aca="false">"⚠  "&amp;'4. Campaign Tracker'!E5&amp;" suppliers escalated — immediate action required"</f>
        <v>⚠  2 suppliers escalated — immediate action required</v>
      </c>
      <c r="C31" s="97"/>
      <c r="D31" s="97"/>
      <c r="E31" s="97"/>
      <c r="F31" s="97"/>
      <c r="G31" s="97"/>
      <c r="H31" s="97"/>
      <c r="I31" s="97"/>
      <c r="J31" s="97"/>
      <c r="K31" s="97"/>
      <c r="L31" s="97"/>
      <c r="M31" s="97"/>
    </row>
    <row r="32" customFormat="false" ht="21.75" hidden="false" customHeight="true" outlineLevel="0" collapsed="false">
      <c r="B32" s="98" t="str">
        <f aca="false">"⚠  "&amp;'4. Campaign Tracker'!D5&amp;" suppliers pending — monitor daily"</f>
        <v>⚠  4 suppliers pending — monitor daily</v>
      </c>
      <c r="C32" s="98"/>
      <c r="D32" s="98"/>
      <c r="E32" s="98"/>
      <c r="F32" s="98"/>
      <c r="G32" s="98"/>
      <c r="H32" s="98"/>
      <c r="I32" s="98"/>
      <c r="J32" s="98"/>
      <c r="K32" s="98"/>
      <c r="L32" s="98"/>
      <c r="M32" s="98"/>
    </row>
    <row r="33" customFormat="false" ht="21.75" hidden="false" customHeight="true" outlineLevel="0" collapsed="false">
      <c r="B33" s="99" t="str">
        <f aca="false">"Target response rate: 85%  |  Current: "&amp;TEXT('4. Campaign Tracker'!F5,"0%")</f>
        <v>Target response rate: 85%  |  Current: 60%</v>
      </c>
      <c r="C33" s="99"/>
      <c r="D33" s="99"/>
      <c r="E33" s="99"/>
      <c r="F33" s="99"/>
      <c r="G33" s="99"/>
      <c r="H33" s="99"/>
      <c r="I33" s="99"/>
      <c r="J33" s="99"/>
      <c r="K33" s="99"/>
      <c r="L33" s="99"/>
      <c r="M33" s="99"/>
    </row>
    <row r="34" customFormat="false" ht="21.75" hidden="false" customHeight="true" outlineLevel="0" collapsed="false">
      <c r="B34" s="100" t="str">
        <f aca="false">"Asia Pacific response rate below average — localized follow-up recommended"</f>
        <v>Asia Pacific response rate below average — localized follow-up recommended</v>
      </c>
      <c r="C34" s="100"/>
      <c r="D34" s="100"/>
      <c r="E34" s="100"/>
      <c r="F34" s="100"/>
      <c r="G34" s="100"/>
      <c r="H34" s="100"/>
      <c r="I34" s="100"/>
      <c r="J34" s="100"/>
      <c r="K34" s="100"/>
      <c r="L34" s="100"/>
      <c r="M34" s="100"/>
    </row>
    <row r="35" customFormat="false" ht="21.75" hidden="false" customHeight="true" outlineLevel="0" collapsed="false">
      <c r="B35" s="101" t="str">
        <f aca="false">"Watch List suppliers: "&amp;COUNTIF('1. REI Prioritization'!M7:M21,"Watch List")&amp;" — review REI scores and consider alternate sourcing"</f>
        <v>Watch List suppliers: 2 — review REI scores and consider alternate sourcing</v>
      </c>
      <c r="C35" s="101"/>
      <c r="D35" s="101"/>
      <c r="E35" s="101"/>
      <c r="F35" s="101"/>
      <c r="G35" s="101"/>
      <c r="H35" s="101"/>
      <c r="I35" s="101"/>
      <c r="J35" s="101"/>
      <c r="K35" s="101"/>
      <c r="L35" s="101"/>
      <c r="M35" s="101"/>
    </row>
    <row r="37" customFormat="false" ht="7.5" hidden="false" customHeight="true" outlineLevel="0" collapsed="false">
      <c r="B37" s="21" t="s">
        <v>271</v>
      </c>
      <c r="C37" s="21"/>
      <c r="D37" s="21"/>
      <c r="E37" s="21"/>
      <c r="F37" s="21"/>
      <c r="G37" s="21"/>
      <c r="H37" s="21"/>
      <c r="I37" s="21"/>
      <c r="J37" s="21"/>
      <c r="K37" s="21"/>
      <c r="L37" s="21"/>
      <c r="M37" s="21"/>
    </row>
    <row r="38" customFormat="false" ht="31.5" hidden="false" customHeight="true" outlineLevel="0" collapsed="false">
      <c r="B38" s="6" t="s">
        <v>272</v>
      </c>
      <c r="C38" s="40" t="s">
        <v>273</v>
      </c>
      <c r="D38" s="102" t="s">
        <v>274</v>
      </c>
      <c r="E38" s="6" t="s">
        <v>275</v>
      </c>
    </row>
    <row r="39" customFormat="false" ht="36" hidden="false" customHeight="true" outlineLevel="0" collapsed="false">
      <c r="B39" s="10" t="s">
        <v>276</v>
      </c>
      <c r="C39" s="45" t="s">
        <v>277</v>
      </c>
      <c r="D39" s="103" t="s">
        <v>278</v>
      </c>
      <c r="E39" s="67" t="s">
        <v>279</v>
      </c>
    </row>
    <row r="40" customFormat="false" ht="36" hidden="false" customHeight="true" outlineLevel="0" collapsed="false">
      <c r="B40" s="10" t="s">
        <v>280</v>
      </c>
      <c r="C40" s="45" t="s">
        <v>281</v>
      </c>
      <c r="D40" s="103" t="s">
        <v>282</v>
      </c>
      <c r="E40" s="67" t="s">
        <v>283</v>
      </c>
    </row>
    <row r="41" customFormat="false" ht="36" hidden="false" customHeight="true" outlineLevel="0" collapsed="false">
      <c r="B41" s="10" t="s">
        <v>284</v>
      </c>
      <c r="C41" s="45" t="s">
        <v>285</v>
      </c>
      <c r="D41" s="103" t="s">
        <v>286</v>
      </c>
      <c r="E41" s="67" t="s">
        <v>287</v>
      </c>
    </row>
    <row r="42" customFormat="false" ht="36" hidden="false" customHeight="true" outlineLevel="0" collapsed="false">
      <c r="B42" s="10" t="s">
        <v>288</v>
      </c>
      <c r="C42" s="45" t="s">
        <v>289</v>
      </c>
      <c r="D42" s="103" t="s">
        <v>290</v>
      </c>
      <c r="E42" s="67" t="s">
        <v>291</v>
      </c>
    </row>
    <row r="43" customFormat="false" ht="36" hidden="false" customHeight="true" outlineLevel="0" collapsed="false">
      <c r="B43" s="10" t="s">
        <v>292</v>
      </c>
      <c r="C43" s="45" t="s">
        <v>293</v>
      </c>
      <c r="D43" s="103" t="s">
        <v>294</v>
      </c>
      <c r="E43" s="67" t="s">
        <v>295</v>
      </c>
    </row>
  </sheetData>
  <mergeCells count="27">
    <mergeCell ref="B1:N1"/>
    <mergeCell ref="B2:N2"/>
    <mergeCell ref="B4:C4"/>
    <mergeCell ref="D4:E4"/>
    <mergeCell ref="F4:G4"/>
    <mergeCell ref="H4:I4"/>
    <mergeCell ref="J4:K4"/>
    <mergeCell ref="B5:C5"/>
    <mergeCell ref="D5:E5"/>
    <mergeCell ref="F5:G5"/>
    <mergeCell ref="H5:I5"/>
    <mergeCell ref="J5:K5"/>
    <mergeCell ref="B6:C6"/>
    <mergeCell ref="D6:E6"/>
    <mergeCell ref="F6:G6"/>
    <mergeCell ref="H6:I6"/>
    <mergeCell ref="J6:K6"/>
    <mergeCell ref="B8:E8"/>
    <mergeCell ref="B16:E16"/>
    <mergeCell ref="G22:M22"/>
    <mergeCell ref="B30:M30"/>
    <mergeCell ref="B31:M31"/>
    <mergeCell ref="B32:M32"/>
    <mergeCell ref="B33:M33"/>
    <mergeCell ref="B34:M34"/>
    <mergeCell ref="B35:M35"/>
    <mergeCell ref="B37:M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80"/>
    <col collapsed="false" customWidth="true" hidden="false" outlineLevel="0" max="4" min="4" style="1" width="2"/>
  </cols>
  <sheetData>
    <row r="1" customFormat="false" ht="31.5" hidden="false" customHeight="true" outlineLevel="0" collapsed="false">
      <c r="A1" s="2"/>
      <c r="B1" s="3" t="s">
        <v>296</v>
      </c>
      <c r="C1" s="3"/>
    </row>
    <row r="2" customFormat="false" ht="15.75" hidden="false" customHeight="true" outlineLevel="0" collapsed="false">
      <c r="B2" s="29" t="s">
        <v>297</v>
      </c>
      <c r="C2" s="29"/>
      <c r="D2" s="29"/>
      <c r="E2" s="29"/>
      <c r="F2" s="29"/>
      <c r="G2" s="29"/>
      <c r="H2" s="29"/>
      <c r="I2" s="29"/>
      <c r="J2" s="29"/>
      <c r="K2" s="29"/>
      <c r="L2" s="29"/>
      <c r="M2" s="29"/>
      <c r="N2" s="29"/>
    </row>
    <row r="3" customFormat="false" ht="19.5" hidden="false" customHeight="true" outlineLevel="0" collapsed="false">
      <c r="B3" s="41" t="s">
        <v>298</v>
      </c>
      <c r="C3" s="41"/>
    </row>
    <row r="4" customFormat="false" ht="312" hidden="false" customHeight="true" outlineLevel="0" collapsed="false">
      <c r="B4" s="104" t="s">
        <v>299</v>
      </c>
      <c r="C4" s="104"/>
    </row>
    <row r="5" customFormat="false" ht="9.75" hidden="false" customHeight="true" outlineLevel="0" collapsed="false"/>
    <row r="6" customFormat="false" ht="19.5" hidden="false" customHeight="true" outlineLevel="0" collapsed="false">
      <c r="B6" s="46" t="s">
        <v>300</v>
      </c>
      <c r="C6" s="46"/>
    </row>
    <row r="7" customFormat="false" ht="376.5" hidden="false" customHeight="true" outlineLevel="0" collapsed="false">
      <c r="B7" s="105" t="s">
        <v>301</v>
      </c>
      <c r="C7" s="105"/>
    </row>
    <row r="8" customFormat="false" ht="9.75" hidden="false" customHeight="true" outlineLevel="0" collapsed="false"/>
    <row r="9" customFormat="false" ht="19.5" hidden="false" customHeight="true" outlineLevel="0" collapsed="false">
      <c r="B9" s="48" t="s">
        <v>302</v>
      </c>
      <c r="C9" s="48"/>
    </row>
    <row r="10" customFormat="false" ht="324.75" hidden="false" customHeight="true" outlineLevel="0" collapsed="false">
      <c r="B10" s="106" t="s">
        <v>303</v>
      </c>
      <c r="C10" s="106"/>
    </row>
    <row r="11" customFormat="false" ht="9.75" hidden="false" customHeight="true" outlineLevel="0" collapsed="false"/>
    <row r="12" customFormat="false" ht="19.5" hidden="false" customHeight="true" outlineLevel="0" collapsed="false">
      <c r="B12" s="50" t="s">
        <v>304</v>
      </c>
      <c r="C12" s="50"/>
    </row>
    <row r="13" customFormat="false" ht="324.75" hidden="false" customHeight="true" outlineLevel="0" collapsed="false">
      <c r="B13" s="107" t="s">
        <v>305</v>
      </c>
      <c r="C13" s="107"/>
    </row>
    <row r="14" customFormat="false" ht="9.75" hidden="false" customHeight="true" outlineLevel="0" collapsed="false"/>
    <row r="15" customFormat="false" ht="19.5" hidden="false" customHeight="true" outlineLevel="0" collapsed="false">
      <c r="B15" s="96" t="s">
        <v>306</v>
      </c>
      <c r="C15" s="96"/>
    </row>
    <row r="16" customFormat="false" ht="285.75" hidden="false" customHeight="true" outlineLevel="0" collapsed="false">
      <c r="B16" s="108" t="s">
        <v>307</v>
      </c>
      <c r="C16" s="108"/>
    </row>
    <row r="17" customFormat="false" ht="9.75" hidden="false" customHeight="true" outlineLevel="0" collapsed="false"/>
  </sheetData>
  <mergeCells count="12">
    <mergeCell ref="B1:C1"/>
    <mergeCell ref="B2:N2"/>
    <mergeCell ref="B3:C3"/>
    <mergeCell ref="B4:C4"/>
    <mergeCell ref="B6:C6"/>
    <mergeCell ref="B7:C7"/>
    <mergeCell ref="B9:C9"/>
    <mergeCell ref="B10:C10"/>
    <mergeCell ref="B12:C12"/>
    <mergeCell ref="B13:C13"/>
    <mergeCell ref="B15:C15"/>
    <mergeCell ref="B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13" min="3" style="0" width="13"/>
    <col collapsed="false" customWidth="true" hidden="false" outlineLevel="0" max="14" min="14" style="0" width="2"/>
  </cols>
  <sheetData>
    <row r="1" customFormat="false" ht="31.5" hidden="false" customHeight="true" outlineLevel="0" collapsed="false">
      <c r="A1" s="109"/>
      <c r="B1" s="3" t="s">
        <v>308</v>
      </c>
      <c r="C1" s="3"/>
      <c r="D1" s="3"/>
      <c r="E1" s="3"/>
      <c r="F1" s="3"/>
      <c r="G1" s="3"/>
      <c r="H1" s="3"/>
      <c r="I1" s="3"/>
      <c r="J1" s="3"/>
      <c r="K1" s="3"/>
      <c r="L1" s="3"/>
      <c r="M1" s="3"/>
    </row>
    <row r="2" customFormat="false" ht="15.75" hidden="false" customHeight="true" outlineLevel="0" collapsed="false">
      <c r="B2" s="110" t="s">
        <v>309</v>
      </c>
      <c r="C2" s="110"/>
      <c r="D2" s="110"/>
      <c r="E2" s="110"/>
      <c r="F2" s="110"/>
      <c r="G2" s="110"/>
      <c r="H2" s="110"/>
      <c r="I2" s="110"/>
      <c r="J2" s="110"/>
      <c r="K2" s="110"/>
      <c r="L2" s="110"/>
      <c r="M2" s="110"/>
      <c r="N2" s="110"/>
    </row>
    <row r="3" customFormat="false" ht="6" hidden="false" customHeight="true" outlineLevel="0" collapsed="false"/>
    <row r="4" customFormat="false" ht="19.5" hidden="false" customHeight="true" outlineLevel="0" collapsed="false">
      <c r="B4" s="21" t="s">
        <v>310</v>
      </c>
      <c r="C4" s="21"/>
      <c r="D4" s="21"/>
      <c r="E4" s="21"/>
      <c r="F4" s="21"/>
      <c r="G4" s="21"/>
      <c r="H4" s="21"/>
      <c r="I4" s="21"/>
      <c r="J4" s="21"/>
      <c r="K4" s="21"/>
      <c r="L4" s="21"/>
      <c r="M4" s="21"/>
    </row>
    <row r="5" customFormat="false" ht="31.5" hidden="false" customHeight="true" outlineLevel="0" collapsed="false">
      <c r="B5" s="6" t="s">
        <v>4</v>
      </c>
      <c r="C5" s="7" t="s">
        <v>311</v>
      </c>
      <c r="D5" s="7" t="s">
        <v>312</v>
      </c>
      <c r="E5" s="7" t="s">
        <v>313</v>
      </c>
      <c r="F5" s="7" t="s">
        <v>314</v>
      </c>
      <c r="G5" s="6" t="s">
        <v>315</v>
      </c>
      <c r="H5" s="6" t="s">
        <v>316</v>
      </c>
    </row>
    <row r="6" customFormat="false" ht="25.5" hidden="false" customHeight="true" outlineLevel="0" collapsed="false">
      <c r="B6" s="10" t="s">
        <v>30</v>
      </c>
      <c r="C6" s="111" t="n">
        <v>0.82</v>
      </c>
      <c r="D6" s="112" t="n">
        <v>0.85</v>
      </c>
      <c r="E6" s="112" t="n">
        <v>0.87</v>
      </c>
      <c r="F6" s="112" t="n">
        <v>0.89</v>
      </c>
      <c r="G6" s="94" t="s">
        <v>317</v>
      </c>
      <c r="H6" s="113" t="s">
        <v>318</v>
      </c>
    </row>
    <row r="7" customFormat="false" ht="25.5" hidden="false" customHeight="true" outlineLevel="0" collapsed="false">
      <c r="B7" s="10" t="s">
        <v>25</v>
      </c>
      <c r="C7" s="111" t="n">
        <v>0.74</v>
      </c>
      <c r="D7" s="111" t="n">
        <v>0.78</v>
      </c>
      <c r="E7" s="111" t="n">
        <v>0.8</v>
      </c>
      <c r="F7" s="111" t="n">
        <v>0.82</v>
      </c>
      <c r="G7" s="94" t="s">
        <v>317</v>
      </c>
      <c r="H7" s="113" t="s">
        <v>319</v>
      </c>
    </row>
    <row r="8" customFormat="false" ht="25.5" hidden="false" customHeight="true" outlineLevel="0" collapsed="false">
      <c r="B8" s="10" t="s">
        <v>46</v>
      </c>
      <c r="C8" s="114" t="n">
        <v>0.58</v>
      </c>
      <c r="D8" s="114" t="n">
        <v>0.62</v>
      </c>
      <c r="E8" s="114" t="n">
        <v>0.68</v>
      </c>
      <c r="F8" s="111" t="n">
        <v>0.71</v>
      </c>
      <c r="G8" s="93" t="s">
        <v>320</v>
      </c>
      <c r="H8" s="115" t="s">
        <v>321</v>
      </c>
    </row>
    <row r="9" customFormat="false" ht="25.5" hidden="false" customHeight="true" outlineLevel="0" collapsed="false">
      <c r="B9" s="10" t="s">
        <v>39</v>
      </c>
      <c r="C9" s="114" t="n">
        <v>0.62</v>
      </c>
      <c r="D9" s="114" t="n">
        <v>0.65</v>
      </c>
      <c r="E9" s="111" t="n">
        <v>0.7</v>
      </c>
      <c r="F9" s="111" t="n">
        <v>0.74</v>
      </c>
      <c r="G9" s="94" t="s">
        <v>317</v>
      </c>
      <c r="H9" s="113" t="s">
        <v>319</v>
      </c>
    </row>
    <row r="10" customFormat="false" ht="25.5" hidden="false" customHeight="true" outlineLevel="0" collapsed="false">
      <c r="B10" s="10" t="s">
        <v>37</v>
      </c>
      <c r="C10" s="111" t="n">
        <v>0.79</v>
      </c>
      <c r="D10" s="111" t="n">
        <v>0.81</v>
      </c>
      <c r="E10" s="111" t="n">
        <v>0.83</v>
      </c>
      <c r="F10" s="112" t="n">
        <v>0.85</v>
      </c>
      <c r="G10" s="94" t="s">
        <v>322</v>
      </c>
      <c r="H10" s="113" t="s">
        <v>318</v>
      </c>
    </row>
    <row r="11" customFormat="false" ht="18" hidden="false" customHeight="true" outlineLevel="0" collapsed="false">
      <c r="B11" s="116" t="s">
        <v>323</v>
      </c>
      <c r="C11" s="116"/>
      <c r="D11" s="116"/>
      <c r="E11" s="116"/>
      <c r="F11" s="116"/>
      <c r="G11" s="116"/>
      <c r="H11" s="116"/>
    </row>
    <row r="13" customFormat="false" ht="19.5" hidden="false" customHeight="true" outlineLevel="0" collapsed="false">
      <c r="B13" s="21" t="s">
        <v>324</v>
      </c>
      <c r="C13" s="21"/>
      <c r="D13" s="21"/>
      <c r="E13" s="21"/>
      <c r="F13" s="21"/>
      <c r="G13" s="21"/>
      <c r="H13" s="21"/>
      <c r="I13" s="21"/>
      <c r="J13" s="21"/>
      <c r="K13" s="21"/>
      <c r="L13" s="21"/>
      <c r="M13" s="21"/>
    </row>
    <row r="14" customFormat="false" ht="31.5" hidden="false" customHeight="true" outlineLevel="0" collapsed="false">
      <c r="B14" s="6" t="s">
        <v>128</v>
      </c>
      <c r="C14" s="7" t="s">
        <v>311</v>
      </c>
      <c r="D14" s="7" t="s">
        <v>312</v>
      </c>
      <c r="E14" s="7" t="s">
        <v>313</v>
      </c>
      <c r="F14" s="7" t="s">
        <v>314</v>
      </c>
      <c r="G14" s="6" t="s">
        <v>325</v>
      </c>
      <c r="H14" s="6" t="s">
        <v>326</v>
      </c>
    </row>
    <row r="15" customFormat="false" ht="31.5" hidden="false" customHeight="true" outlineLevel="0" collapsed="false">
      <c r="B15" s="10" t="s">
        <v>327</v>
      </c>
      <c r="C15" s="111" t="n">
        <v>0.72</v>
      </c>
      <c r="D15" s="111" t="n">
        <v>0.78</v>
      </c>
      <c r="E15" s="111" t="n">
        <v>0.82</v>
      </c>
      <c r="F15" s="112" t="n">
        <v>0.86</v>
      </c>
      <c r="G15" s="94" t="s">
        <v>317</v>
      </c>
      <c r="H15" s="43" t="s">
        <v>328</v>
      </c>
    </row>
    <row r="16" customFormat="false" ht="31.5" hidden="false" customHeight="true" outlineLevel="0" collapsed="false">
      <c r="B16" s="10" t="s">
        <v>329</v>
      </c>
      <c r="C16" s="114" t="n">
        <v>0.68</v>
      </c>
      <c r="D16" s="111" t="n">
        <v>0.74</v>
      </c>
      <c r="E16" s="111" t="n">
        <v>0.79</v>
      </c>
      <c r="F16" s="111" t="n">
        <v>0.82</v>
      </c>
      <c r="G16" s="94" t="s">
        <v>317</v>
      </c>
      <c r="H16" s="43" t="s">
        <v>330</v>
      </c>
    </row>
    <row r="17" customFormat="false" ht="31.5" hidden="false" customHeight="true" outlineLevel="0" collapsed="false">
      <c r="B17" s="10" t="s">
        <v>331</v>
      </c>
      <c r="C17" s="112" t="n">
        <v>0.85</v>
      </c>
      <c r="D17" s="112" t="n">
        <v>0.88</v>
      </c>
      <c r="E17" s="112" t="n">
        <v>0.91</v>
      </c>
      <c r="F17" s="112" t="n">
        <v>0.93</v>
      </c>
      <c r="G17" s="94" t="s">
        <v>332</v>
      </c>
      <c r="H17" s="43" t="s">
        <v>333</v>
      </c>
    </row>
    <row r="18" customFormat="false" ht="31.5" hidden="false" customHeight="true" outlineLevel="0" collapsed="false">
      <c r="B18" s="10" t="s">
        <v>193</v>
      </c>
      <c r="C18" s="111" t="n">
        <v>0.78</v>
      </c>
      <c r="D18" s="111" t="n">
        <v>0.82</v>
      </c>
      <c r="E18" s="112" t="n">
        <v>0.85</v>
      </c>
      <c r="F18" s="112" t="n">
        <v>0.87</v>
      </c>
      <c r="G18" s="94" t="s">
        <v>322</v>
      </c>
      <c r="H18" s="43" t="s">
        <v>334</v>
      </c>
    </row>
    <row r="20" customFormat="false" ht="19.5" hidden="false" customHeight="true" outlineLevel="0" collapsed="false">
      <c r="B20" s="21" t="s">
        <v>335</v>
      </c>
      <c r="C20" s="21"/>
      <c r="D20" s="21"/>
      <c r="E20" s="21"/>
      <c r="F20" s="21"/>
      <c r="G20" s="21"/>
      <c r="H20" s="21"/>
      <c r="I20" s="21"/>
      <c r="J20" s="21"/>
      <c r="K20" s="21"/>
      <c r="L20" s="21"/>
      <c r="M20" s="21"/>
    </row>
    <row r="21" customFormat="false" ht="36" hidden="false" customHeight="true" outlineLevel="0" collapsed="false">
      <c r="B21" s="98" t="s">
        <v>336</v>
      </c>
      <c r="C21" s="98"/>
      <c r="D21" s="98"/>
      <c r="E21" s="98"/>
      <c r="F21" s="27" t="s">
        <v>337</v>
      </c>
      <c r="G21" s="27"/>
      <c r="H21" s="27"/>
      <c r="I21" s="27"/>
      <c r="J21" s="27"/>
      <c r="K21" s="27"/>
      <c r="L21" s="27"/>
      <c r="M21" s="27"/>
    </row>
    <row r="22" customFormat="false" ht="36" hidden="false" customHeight="true" outlineLevel="0" collapsed="false">
      <c r="B22" s="117" t="s">
        <v>338</v>
      </c>
      <c r="C22" s="117"/>
      <c r="D22" s="117"/>
      <c r="E22" s="117"/>
      <c r="F22" s="27" t="s">
        <v>339</v>
      </c>
      <c r="G22" s="27"/>
      <c r="H22" s="27"/>
      <c r="I22" s="27"/>
      <c r="J22" s="27"/>
      <c r="K22" s="27"/>
      <c r="L22" s="27"/>
      <c r="M22" s="27"/>
    </row>
    <row r="23" customFormat="false" ht="36" hidden="false" customHeight="true" outlineLevel="0" collapsed="false">
      <c r="B23" s="100" t="s">
        <v>340</v>
      </c>
      <c r="C23" s="100"/>
      <c r="D23" s="100"/>
      <c r="E23" s="100"/>
      <c r="F23" s="27" t="s">
        <v>341</v>
      </c>
      <c r="G23" s="27"/>
      <c r="H23" s="27"/>
      <c r="I23" s="27"/>
      <c r="J23" s="27"/>
      <c r="K23" s="27"/>
      <c r="L23" s="27"/>
      <c r="M23" s="27"/>
    </row>
    <row r="24" customFormat="false" ht="36" hidden="false" customHeight="true" outlineLevel="0" collapsed="false">
      <c r="B24" s="97" t="s">
        <v>342</v>
      </c>
      <c r="C24" s="97"/>
      <c r="D24" s="97"/>
      <c r="E24" s="97"/>
      <c r="F24" s="27" t="s">
        <v>343</v>
      </c>
      <c r="G24" s="27"/>
      <c r="H24" s="27"/>
      <c r="I24" s="27"/>
      <c r="J24" s="27"/>
      <c r="K24" s="27"/>
      <c r="L24" s="27"/>
      <c r="M24" s="27"/>
    </row>
    <row r="25" customFormat="false" ht="36" hidden="false" customHeight="true" outlineLevel="0" collapsed="false">
      <c r="B25" s="98" t="s">
        <v>344</v>
      </c>
      <c r="C25" s="98"/>
      <c r="D25" s="98"/>
      <c r="E25" s="98"/>
      <c r="F25" s="27" t="s">
        <v>345</v>
      </c>
      <c r="G25" s="27"/>
      <c r="H25" s="27"/>
      <c r="I25" s="27"/>
      <c r="J25" s="27"/>
      <c r="K25" s="27"/>
      <c r="L25" s="27"/>
      <c r="M25" s="27"/>
    </row>
  </sheetData>
  <mergeCells count="16">
    <mergeCell ref="B1:M1"/>
    <mergeCell ref="B2:N2"/>
    <mergeCell ref="B4:M4"/>
    <mergeCell ref="B11:H11"/>
    <mergeCell ref="B13:M13"/>
    <mergeCell ref="B20:M20"/>
    <mergeCell ref="B21:E21"/>
    <mergeCell ref="F21:M21"/>
    <mergeCell ref="B22:E22"/>
    <mergeCell ref="F22:M22"/>
    <mergeCell ref="B23:E23"/>
    <mergeCell ref="F23:M23"/>
    <mergeCell ref="B24:E24"/>
    <mergeCell ref="F24:M24"/>
    <mergeCell ref="B25:E25"/>
    <mergeCell ref="F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4" min="3" style="0" width="16"/>
    <col collapsed="false" customWidth="true" hidden="false" outlineLevel="0" max="5" min="5" style="0" width="14"/>
    <col collapsed="false" customWidth="true" hidden="false" outlineLevel="0" max="7" min="6" style="0" width="18"/>
    <col collapsed="false" customWidth="true" hidden="false" outlineLevel="0" max="8" min="8" style="0" width="14"/>
    <col collapsed="false" customWidth="true" hidden="false" outlineLevel="0" max="9" min="9" style="0" width="2"/>
  </cols>
  <sheetData>
    <row r="1" customFormat="false" ht="31.5" hidden="false" customHeight="true" outlineLevel="0" collapsed="false">
      <c r="A1" s="109"/>
      <c r="B1" s="3" t="s">
        <v>346</v>
      </c>
      <c r="C1" s="3"/>
      <c r="D1" s="3"/>
      <c r="E1" s="3"/>
      <c r="F1" s="3"/>
      <c r="G1" s="3"/>
      <c r="H1" s="3"/>
    </row>
    <row r="2" customFormat="false" ht="15.75" hidden="false" customHeight="true" outlineLevel="0" collapsed="false">
      <c r="B2" s="118" t="s">
        <v>347</v>
      </c>
      <c r="C2" s="118"/>
      <c r="D2" s="118"/>
      <c r="E2" s="118"/>
      <c r="F2" s="118"/>
      <c r="G2" s="118"/>
      <c r="H2" s="118"/>
      <c r="I2" s="118"/>
      <c r="J2" s="118"/>
      <c r="K2" s="118"/>
      <c r="L2" s="118"/>
      <c r="M2" s="118"/>
      <c r="N2" s="118"/>
    </row>
    <row r="3" customFormat="false" ht="6" hidden="false" customHeight="true" outlineLevel="0" collapsed="false"/>
    <row r="4" customFormat="false" ht="19.5" hidden="false" customHeight="true" outlineLevel="0" collapsed="false">
      <c r="B4" s="21" t="s">
        <v>348</v>
      </c>
      <c r="C4" s="21"/>
      <c r="D4" s="21"/>
      <c r="E4" s="21"/>
      <c r="F4" s="21"/>
      <c r="G4" s="21"/>
      <c r="H4" s="21"/>
    </row>
    <row r="5" customFormat="false" ht="31.5" hidden="false" customHeight="true" outlineLevel="0" collapsed="false">
      <c r="B5" s="6" t="s">
        <v>349</v>
      </c>
      <c r="C5" s="7" t="s">
        <v>350</v>
      </c>
      <c r="D5" s="7" t="s">
        <v>129</v>
      </c>
      <c r="E5" s="7" t="s">
        <v>351</v>
      </c>
      <c r="F5" s="7" t="s">
        <v>352</v>
      </c>
    </row>
    <row r="6" customFormat="false" ht="42" hidden="false" customHeight="true" outlineLevel="0" collapsed="false">
      <c r="B6" s="94" t="s">
        <v>353</v>
      </c>
      <c r="C6" s="43" t="s">
        <v>354</v>
      </c>
      <c r="D6" s="10" t="s">
        <v>139</v>
      </c>
      <c r="E6" s="119" t="s">
        <v>355</v>
      </c>
      <c r="F6" s="18" t="s">
        <v>356</v>
      </c>
    </row>
    <row r="7" customFormat="false" ht="42" hidden="false" customHeight="true" outlineLevel="0" collapsed="false">
      <c r="B7" s="42" t="s">
        <v>357</v>
      </c>
      <c r="C7" s="43" t="s">
        <v>358</v>
      </c>
      <c r="D7" s="10" t="s">
        <v>139</v>
      </c>
      <c r="E7" s="119" t="s">
        <v>359</v>
      </c>
      <c r="F7" s="35" t="s">
        <v>360</v>
      </c>
    </row>
    <row r="8" customFormat="false" ht="42" hidden="false" customHeight="true" outlineLevel="0" collapsed="false">
      <c r="B8" s="93" t="s">
        <v>361</v>
      </c>
      <c r="C8" s="43" t="s">
        <v>362</v>
      </c>
      <c r="D8" s="10" t="s">
        <v>139</v>
      </c>
      <c r="E8" s="119" t="s">
        <v>363</v>
      </c>
      <c r="F8" s="28" t="s">
        <v>364</v>
      </c>
    </row>
    <row r="9" customFormat="false" ht="42" hidden="false" customHeight="true" outlineLevel="0" collapsed="false">
      <c r="B9" s="94" t="s">
        <v>365</v>
      </c>
      <c r="C9" s="43" t="s">
        <v>366</v>
      </c>
      <c r="D9" s="10" t="s">
        <v>367</v>
      </c>
      <c r="E9" s="119" t="s">
        <v>368</v>
      </c>
      <c r="F9" s="18" t="s">
        <v>369</v>
      </c>
    </row>
    <row r="10" customFormat="false" ht="42" hidden="false" customHeight="true" outlineLevel="0" collapsed="false">
      <c r="B10" s="51" t="s">
        <v>370</v>
      </c>
      <c r="C10" s="43" t="s">
        <v>371</v>
      </c>
      <c r="D10" s="10" t="s">
        <v>372</v>
      </c>
      <c r="E10" s="119" t="s">
        <v>373</v>
      </c>
      <c r="F10" s="120" t="s">
        <v>374</v>
      </c>
    </row>
    <row r="12" customFormat="false" ht="19.5" hidden="false" customHeight="true" outlineLevel="0" collapsed="false">
      <c r="B12" s="21" t="s">
        <v>375</v>
      </c>
      <c r="C12" s="21"/>
      <c r="D12" s="21"/>
      <c r="E12" s="21"/>
      <c r="F12" s="21"/>
      <c r="G12" s="21"/>
      <c r="H12" s="21"/>
    </row>
    <row r="13" customFormat="false" ht="31.5" hidden="false" customHeight="true" outlineLevel="0" collapsed="false">
      <c r="B13" s="6" t="s">
        <v>3</v>
      </c>
      <c r="C13" s="7" t="s">
        <v>376</v>
      </c>
      <c r="D13" s="7" t="s">
        <v>377</v>
      </c>
      <c r="E13" s="7" t="s">
        <v>378</v>
      </c>
      <c r="F13" s="7" t="s">
        <v>71</v>
      </c>
      <c r="G13" s="6" t="s">
        <v>351</v>
      </c>
    </row>
    <row r="14" customFormat="false" ht="21.75" hidden="false" customHeight="true" outlineLevel="0" collapsed="false">
      <c r="B14" s="10" t="s">
        <v>24</v>
      </c>
      <c r="C14" s="12" t="s">
        <v>379</v>
      </c>
      <c r="D14" s="12" t="s">
        <v>380</v>
      </c>
      <c r="E14" s="18" t="s">
        <v>381</v>
      </c>
      <c r="F14" s="18" t="s">
        <v>78</v>
      </c>
      <c r="G14" s="103" t="s">
        <v>382</v>
      </c>
    </row>
    <row r="15" customFormat="false" ht="21.75" hidden="false" customHeight="true" outlineLevel="0" collapsed="false">
      <c r="B15" s="10" t="s">
        <v>29</v>
      </c>
      <c r="C15" s="12" t="s">
        <v>379</v>
      </c>
      <c r="D15" s="12" t="s">
        <v>380</v>
      </c>
      <c r="E15" s="18" t="s">
        <v>381</v>
      </c>
      <c r="F15" s="18" t="s">
        <v>78</v>
      </c>
      <c r="G15" s="103" t="s">
        <v>382</v>
      </c>
    </row>
    <row r="16" customFormat="false" ht="21.75" hidden="false" customHeight="true" outlineLevel="0" collapsed="false">
      <c r="B16" s="10" t="s">
        <v>31</v>
      </c>
      <c r="C16" s="12" t="s">
        <v>379</v>
      </c>
      <c r="D16" s="12" t="s">
        <v>380</v>
      </c>
      <c r="E16" s="18" t="s">
        <v>381</v>
      </c>
      <c r="F16" s="18" t="s">
        <v>78</v>
      </c>
      <c r="G16" s="103" t="s">
        <v>382</v>
      </c>
    </row>
    <row r="17" customFormat="false" ht="21.75" hidden="false" customHeight="true" outlineLevel="0" collapsed="false">
      <c r="B17" s="10" t="s">
        <v>32</v>
      </c>
      <c r="C17" s="12" t="s">
        <v>379</v>
      </c>
      <c r="D17" s="12" t="s">
        <v>380</v>
      </c>
      <c r="E17" s="18" t="s">
        <v>381</v>
      </c>
      <c r="F17" s="18" t="s">
        <v>78</v>
      </c>
      <c r="G17" s="103" t="s">
        <v>382</v>
      </c>
    </row>
    <row r="18" customFormat="false" ht="21.75" hidden="false" customHeight="true" outlineLevel="0" collapsed="false">
      <c r="B18" s="10" t="s">
        <v>33</v>
      </c>
      <c r="C18" s="12" t="s">
        <v>379</v>
      </c>
      <c r="D18" s="12" t="s">
        <v>380</v>
      </c>
      <c r="E18" s="18" t="s">
        <v>381</v>
      </c>
      <c r="F18" s="18" t="s">
        <v>78</v>
      </c>
      <c r="G18" s="103" t="s">
        <v>382</v>
      </c>
    </row>
    <row r="19" customFormat="false" ht="21.75" hidden="false" customHeight="true" outlineLevel="0" collapsed="false">
      <c r="B19" s="10" t="s">
        <v>34</v>
      </c>
      <c r="C19" s="12" t="s">
        <v>379</v>
      </c>
      <c r="D19" s="12" t="s">
        <v>380</v>
      </c>
      <c r="E19" s="18" t="s">
        <v>381</v>
      </c>
      <c r="F19" s="18" t="s">
        <v>78</v>
      </c>
      <c r="G19" s="103" t="s">
        <v>382</v>
      </c>
    </row>
    <row r="20" customFormat="false" ht="21.75" hidden="false" customHeight="true" outlineLevel="0" collapsed="false">
      <c r="B20" s="10" t="s">
        <v>35</v>
      </c>
      <c r="C20" s="12" t="s">
        <v>379</v>
      </c>
      <c r="D20" s="12" t="s">
        <v>380</v>
      </c>
      <c r="E20" s="18" t="s">
        <v>381</v>
      </c>
      <c r="F20" s="18" t="s">
        <v>78</v>
      </c>
      <c r="G20" s="103" t="s">
        <v>382</v>
      </c>
    </row>
    <row r="21" customFormat="false" ht="21.75" hidden="false" customHeight="true" outlineLevel="0" collapsed="false">
      <c r="B21" s="10" t="s">
        <v>36</v>
      </c>
      <c r="C21" s="12" t="s">
        <v>379</v>
      </c>
      <c r="D21" s="12" t="s">
        <v>380</v>
      </c>
      <c r="E21" s="18" t="s">
        <v>381</v>
      </c>
      <c r="F21" s="18" t="s">
        <v>78</v>
      </c>
      <c r="G21" s="103" t="s">
        <v>382</v>
      </c>
    </row>
    <row r="22" customFormat="false" ht="21.75" hidden="false" customHeight="true" outlineLevel="0" collapsed="false">
      <c r="B22" s="10" t="s">
        <v>38</v>
      </c>
      <c r="C22" s="12" t="s">
        <v>383</v>
      </c>
      <c r="D22" s="12" t="s">
        <v>380</v>
      </c>
      <c r="E22" s="18" t="s">
        <v>381</v>
      </c>
      <c r="F22" s="18" t="s">
        <v>78</v>
      </c>
      <c r="G22" s="103" t="s">
        <v>382</v>
      </c>
    </row>
    <row r="23" customFormat="false" ht="21.75" hidden="false" customHeight="true" outlineLevel="0" collapsed="false">
      <c r="B23" s="10" t="s">
        <v>40</v>
      </c>
      <c r="C23" s="12" t="s">
        <v>383</v>
      </c>
      <c r="D23" s="12" t="s">
        <v>380</v>
      </c>
      <c r="E23" s="18" t="s">
        <v>381</v>
      </c>
      <c r="F23" s="18" t="s">
        <v>78</v>
      </c>
      <c r="G23" s="103" t="s">
        <v>382</v>
      </c>
    </row>
    <row r="24" customFormat="false" ht="21.75" hidden="false" customHeight="true" outlineLevel="0" collapsed="false">
      <c r="B24" s="10" t="s">
        <v>41</v>
      </c>
      <c r="C24" s="12" t="s">
        <v>383</v>
      </c>
      <c r="D24" s="12" t="s">
        <v>380</v>
      </c>
      <c r="E24" s="18" t="s">
        <v>381</v>
      </c>
      <c r="F24" s="28" t="s">
        <v>110</v>
      </c>
      <c r="G24" s="121" t="s">
        <v>384</v>
      </c>
    </row>
    <row r="25" customFormat="false" ht="21.75" hidden="false" customHeight="true" outlineLevel="0" collapsed="false">
      <c r="B25" s="10" t="s">
        <v>43</v>
      </c>
      <c r="C25" s="12" t="s">
        <v>383</v>
      </c>
      <c r="D25" s="12" t="s">
        <v>380</v>
      </c>
      <c r="E25" s="18" t="s">
        <v>381</v>
      </c>
      <c r="F25" s="28" t="s">
        <v>110</v>
      </c>
      <c r="G25" s="121" t="s">
        <v>384</v>
      </c>
    </row>
    <row r="26" customFormat="false" ht="21.75" hidden="false" customHeight="true" outlineLevel="0" collapsed="false">
      <c r="B26" s="10" t="s">
        <v>44</v>
      </c>
      <c r="C26" s="12" t="s">
        <v>383</v>
      </c>
      <c r="D26" s="12" t="s">
        <v>380</v>
      </c>
      <c r="E26" s="18" t="s">
        <v>381</v>
      </c>
      <c r="F26" s="28" t="s">
        <v>110</v>
      </c>
      <c r="G26" s="121" t="s">
        <v>384</v>
      </c>
    </row>
    <row r="27" customFormat="false" ht="21.75" hidden="false" customHeight="true" outlineLevel="0" collapsed="false">
      <c r="B27" s="10" t="s">
        <v>45</v>
      </c>
      <c r="C27" s="12" t="s">
        <v>385</v>
      </c>
      <c r="D27" s="12" t="s">
        <v>379</v>
      </c>
      <c r="E27" s="16" t="s">
        <v>386</v>
      </c>
      <c r="F27" s="16" t="s">
        <v>119</v>
      </c>
      <c r="G27" s="122" t="s">
        <v>387</v>
      </c>
    </row>
    <row r="28" customFormat="false" ht="21.75" hidden="false" customHeight="true" outlineLevel="0" collapsed="false">
      <c r="B28" s="10" t="s">
        <v>47</v>
      </c>
      <c r="C28" s="12" t="s">
        <v>383</v>
      </c>
      <c r="D28" s="12" t="s">
        <v>379</v>
      </c>
      <c r="E28" s="18" t="s">
        <v>381</v>
      </c>
      <c r="F28" s="16" t="s">
        <v>119</v>
      </c>
      <c r="G28" s="121" t="s">
        <v>384</v>
      </c>
    </row>
    <row r="29" customFormat="false" ht="19.5" hidden="false" customHeight="true" outlineLevel="0" collapsed="false">
      <c r="B29" s="21" t="s">
        <v>388</v>
      </c>
      <c r="C29" s="21"/>
      <c r="D29" s="21"/>
      <c r="E29" s="21"/>
      <c r="F29" s="21"/>
      <c r="G29" s="21"/>
      <c r="H29" s="21"/>
    </row>
    <row r="30" customFormat="false" ht="25.5" hidden="false" customHeight="true" outlineLevel="0" collapsed="false">
      <c r="B30" s="25" t="str">
        <f aca="false">COUNTIF(E14:E28,"Verified")&amp;" verified emails"</f>
        <v>14 verified emails</v>
      </c>
      <c r="C30" s="25"/>
      <c r="D30" s="22" t="str">
        <f aca="false">COUNTIF(E14:E28,"BOUNCING")&amp;" bouncing — action required"</f>
        <v>1 bouncing — action required</v>
      </c>
      <c r="E30" s="22"/>
      <c r="F30" s="25" t="str">
        <f aca="false">COUNTIF(F14:F28,"Registered")&amp;" portal registered"</f>
        <v>10 portal registered</v>
      </c>
      <c r="G30" s="25"/>
      <c r="H30" s="23" t="str">
        <f aca="false">COUNTIF(F14:F28,"Not Registered")&amp;" not registered"</f>
        <v>2 not registered</v>
      </c>
      <c r="I30" s="23"/>
    </row>
  </sheetData>
  <mergeCells count="9">
    <mergeCell ref="B1:H1"/>
    <mergeCell ref="B2:N2"/>
    <mergeCell ref="B4:H4"/>
    <mergeCell ref="B12:H12"/>
    <mergeCell ref="B29:H29"/>
    <mergeCell ref="B30:C30"/>
    <mergeCell ref="D30:E30"/>
    <mergeCell ref="F30:G30"/>
    <mergeCell ref="H30:I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5" min="3" style="0" width="16"/>
    <col collapsed="false" customWidth="true" hidden="false" outlineLevel="0" max="7" min="6" style="0" width="20"/>
    <col collapsed="false" customWidth="true" hidden="false" outlineLevel="0" max="8" min="8" style="0" width="2"/>
  </cols>
  <sheetData>
    <row r="1" customFormat="false" ht="31.5" hidden="false" customHeight="true" outlineLevel="0" collapsed="false">
      <c r="A1" s="109"/>
      <c r="B1" s="3" t="s">
        <v>389</v>
      </c>
      <c r="C1" s="3"/>
      <c r="D1" s="3"/>
      <c r="E1" s="3"/>
      <c r="F1" s="3"/>
      <c r="G1" s="3"/>
    </row>
    <row r="2" customFormat="false" ht="15.75" hidden="false" customHeight="true" outlineLevel="0" collapsed="false">
      <c r="B2" s="123" t="s">
        <v>390</v>
      </c>
      <c r="C2" s="123"/>
      <c r="D2" s="123"/>
      <c r="E2" s="123"/>
      <c r="F2" s="123"/>
      <c r="G2" s="123"/>
      <c r="H2" s="123"/>
      <c r="I2" s="123"/>
      <c r="J2" s="123"/>
      <c r="K2" s="123"/>
      <c r="L2" s="123"/>
      <c r="M2" s="123"/>
      <c r="N2" s="123"/>
    </row>
    <row r="3" customFormat="false" ht="6" hidden="false" customHeight="true" outlineLevel="0" collapsed="false"/>
    <row r="4" customFormat="false" ht="19.5" hidden="false" customHeight="true" outlineLevel="0" collapsed="false">
      <c r="B4" s="21" t="s">
        <v>391</v>
      </c>
      <c r="C4" s="21"/>
      <c r="D4" s="21"/>
      <c r="E4" s="21"/>
      <c r="F4" s="21"/>
      <c r="G4" s="21"/>
    </row>
    <row r="5" customFormat="false" ht="36" hidden="false" customHeight="true" outlineLevel="0" collapsed="false">
      <c r="B5" s="6" t="s">
        <v>392</v>
      </c>
      <c r="C5" s="7" t="s">
        <v>393</v>
      </c>
      <c r="D5" s="7" t="s">
        <v>131</v>
      </c>
      <c r="E5" s="7" t="s">
        <v>394</v>
      </c>
      <c r="F5" s="7" t="s">
        <v>395</v>
      </c>
      <c r="G5" s="6" t="s">
        <v>396</v>
      </c>
    </row>
    <row r="6" customFormat="false" ht="42" hidden="false" customHeight="true" outlineLevel="0" collapsed="false">
      <c r="B6" s="124" t="s">
        <v>397</v>
      </c>
      <c r="C6" s="125" t="s">
        <v>398</v>
      </c>
      <c r="D6" s="67" t="s">
        <v>399</v>
      </c>
      <c r="E6" s="43" t="s">
        <v>400</v>
      </c>
      <c r="F6" s="119" t="s">
        <v>401</v>
      </c>
      <c r="G6" s="33" t="s">
        <v>402</v>
      </c>
    </row>
    <row r="7" customFormat="false" ht="42" hidden="false" customHeight="true" outlineLevel="0" collapsed="false">
      <c r="B7" s="124" t="s">
        <v>403</v>
      </c>
      <c r="C7" s="125" t="s">
        <v>404</v>
      </c>
      <c r="D7" s="67" t="s">
        <v>405</v>
      </c>
      <c r="E7" s="43" t="s">
        <v>406</v>
      </c>
      <c r="F7" s="119" t="s">
        <v>407</v>
      </c>
      <c r="G7" s="33" t="s">
        <v>402</v>
      </c>
    </row>
    <row r="8" customFormat="false" ht="42" hidden="false" customHeight="true" outlineLevel="0" collapsed="false">
      <c r="B8" s="124" t="s">
        <v>408</v>
      </c>
      <c r="C8" s="125" t="s">
        <v>409</v>
      </c>
      <c r="D8" s="67" t="s">
        <v>410</v>
      </c>
      <c r="E8" s="43" t="s">
        <v>411</v>
      </c>
      <c r="F8" s="119" t="s">
        <v>412</v>
      </c>
      <c r="G8" s="33" t="s">
        <v>402</v>
      </c>
    </row>
    <row r="9" customFormat="false" ht="42" hidden="false" customHeight="true" outlineLevel="0" collapsed="false">
      <c r="B9" s="124" t="s">
        <v>413</v>
      </c>
      <c r="C9" s="125" t="s">
        <v>414</v>
      </c>
      <c r="D9" s="67" t="s">
        <v>415</v>
      </c>
      <c r="E9" s="43" t="s">
        <v>416</v>
      </c>
      <c r="F9" s="119" t="s">
        <v>417</v>
      </c>
      <c r="G9" s="33" t="s">
        <v>402</v>
      </c>
    </row>
    <row r="10" customFormat="false" ht="42" hidden="false" customHeight="true" outlineLevel="0" collapsed="false">
      <c r="B10" s="124" t="s">
        <v>418</v>
      </c>
      <c r="C10" s="125" t="s">
        <v>419</v>
      </c>
      <c r="D10" s="67" t="s">
        <v>399</v>
      </c>
      <c r="E10" s="43" t="s">
        <v>420</v>
      </c>
      <c r="F10" s="119" t="s">
        <v>421</v>
      </c>
      <c r="G10" s="33" t="s">
        <v>402</v>
      </c>
    </row>
    <row r="11" customFormat="false" ht="42" hidden="false" customHeight="true" outlineLevel="0" collapsed="false">
      <c r="B11" s="124" t="s">
        <v>422</v>
      </c>
      <c r="C11" s="125" t="s">
        <v>423</v>
      </c>
      <c r="D11" s="67" t="s">
        <v>141</v>
      </c>
      <c r="E11" s="43" t="s">
        <v>424</v>
      </c>
      <c r="F11" s="119" t="s">
        <v>425</v>
      </c>
      <c r="G11" s="33" t="s">
        <v>402</v>
      </c>
    </row>
    <row r="13" customFormat="false" ht="19.5" hidden="false" customHeight="true" outlineLevel="0" collapsed="false">
      <c r="B13" s="21" t="s">
        <v>426</v>
      </c>
      <c r="C13" s="21"/>
      <c r="D13" s="21"/>
      <c r="E13" s="21"/>
      <c r="F13" s="21"/>
      <c r="G13" s="21"/>
    </row>
    <row r="14" customFormat="false" ht="31.5" hidden="false" customHeight="true" outlineLevel="0" collapsed="false">
      <c r="B14" s="6" t="s">
        <v>427</v>
      </c>
      <c r="C14" s="7" t="s">
        <v>428</v>
      </c>
      <c r="D14" s="7" t="s">
        <v>429</v>
      </c>
      <c r="E14" s="7" t="s">
        <v>430</v>
      </c>
    </row>
    <row r="15" customFormat="false" ht="31.5" hidden="false" customHeight="true" outlineLevel="0" collapsed="false">
      <c r="B15" s="124" t="s">
        <v>431</v>
      </c>
      <c r="C15" s="119" t="s">
        <v>432</v>
      </c>
      <c r="D15" s="126" t="s">
        <v>433</v>
      </c>
      <c r="E15" s="43" t="s">
        <v>434</v>
      </c>
    </row>
    <row r="16" customFormat="false" ht="31.5" hidden="false" customHeight="true" outlineLevel="0" collapsed="false">
      <c r="B16" s="124" t="s">
        <v>408</v>
      </c>
      <c r="C16" s="119" t="s">
        <v>435</v>
      </c>
      <c r="D16" s="126" t="s">
        <v>410</v>
      </c>
      <c r="E16" s="43" t="s">
        <v>436</v>
      </c>
    </row>
    <row r="17" customFormat="false" ht="31.5" hidden="false" customHeight="true" outlineLevel="0" collapsed="false">
      <c r="B17" s="124" t="s">
        <v>422</v>
      </c>
      <c r="C17" s="119" t="s">
        <v>437</v>
      </c>
      <c r="D17" s="126" t="s">
        <v>141</v>
      </c>
      <c r="E17" s="43" t="s">
        <v>438</v>
      </c>
    </row>
    <row r="18" customFormat="false" ht="31.5" hidden="false" customHeight="true" outlineLevel="0" collapsed="false">
      <c r="B18" s="124" t="s">
        <v>439</v>
      </c>
      <c r="C18" s="119" t="s">
        <v>440</v>
      </c>
      <c r="D18" s="126" t="s">
        <v>399</v>
      </c>
      <c r="E18" s="43" t="s">
        <v>441</v>
      </c>
    </row>
    <row r="19" customFormat="false" ht="31.5" hidden="false" customHeight="true" outlineLevel="0" collapsed="false">
      <c r="B19" s="124" t="s">
        <v>442</v>
      </c>
      <c r="C19" s="119" t="s">
        <v>443</v>
      </c>
      <c r="D19" s="126" t="s">
        <v>399</v>
      </c>
      <c r="E19" s="43" t="s">
        <v>444</v>
      </c>
    </row>
    <row r="20" customFormat="false" ht="31.5" hidden="false" customHeight="true" outlineLevel="0" collapsed="false">
      <c r="B20" s="124" t="s">
        <v>445</v>
      </c>
      <c r="C20" s="119" t="s">
        <v>446</v>
      </c>
      <c r="D20" s="126" t="s">
        <v>447</v>
      </c>
      <c r="E20" s="43" t="s">
        <v>448</v>
      </c>
    </row>
  </sheetData>
  <mergeCells count="4">
    <mergeCell ref="B1:G1"/>
    <mergeCell ref="B2:N2"/>
    <mergeCell ref="B4:G4"/>
    <mergeCell ref="B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2026-06-03T18:35:15Z</dcterms:created>
  <dc:creator>openpyxl</dc:creator>
  <dc:description/>
  <dc:language>en-US</dc:language>
  <cp:lastModifiedBy/>
  <dcterms:modified xsi:type="dcterms:W3CDTF">2026-06-03T18:51:43Z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